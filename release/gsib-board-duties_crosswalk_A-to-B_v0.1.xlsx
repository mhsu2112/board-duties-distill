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ll Duties A→B" sheetId="2" state="visible" r:id="rId2"/>
    <sheet xmlns:r="http://schemas.openxmlformats.org/officeDocument/2006/relationships" name="By Target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'All Duties A→B'!$A$1:$M$228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2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808080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general" vertical="top" wrapText="1"/>
    </xf>
    <xf numFmtId="0" fontId="5" fillId="6" borderId="1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general" vertical="top" wrapText="1"/>
    </xf>
    <xf numFmtId="0" fontId="5" fillId="6" borderId="1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13" min="1" max="1"/>
    <col width="110" customWidth="1" style="13" min="2" max="2"/>
  </cols>
  <sheetData>
    <row r="1" ht="15" customHeight="1" s="14">
      <c r="A1" s="15" t="inlineStr">
        <is>
          <t>GSIB Board Duties — A→B Crosswalk (v0.1, illustrative draft)</t>
        </is>
      </c>
      <c r="B1" s="16" t="n"/>
    </row>
    <row r="2" ht="15" customHeight="1" s="14">
      <c r="A2" s="17" t="n"/>
      <c r="B2" s="16" t="n"/>
    </row>
    <row r="3" ht="23.85" customHeight="1" s="14">
      <c r="A3" s="18" t="inlineStr">
        <is>
          <t>What this workbook is</t>
        </is>
      </c>
      <c r="B3" s="16" t="inlineStr">
        <is>
          <t>Every one of the 227 board-duty statements in the current inventory (A), mapped to its proposed home in the consolidated duty set (B): the operation applied, the reform lever, verification status, and disposition.</t>
        </is>
      </c>
    </row>
    <row r="4" ht="23.85" customHeight="1" s="14">
      <c r="A4" s="18" t="inlineStr">
        <is>
          <t>Status</t>
        </is>
      </c>
      <c r="B4" s="16" t="inlineStr">
        <is>
          <t>Draft. Nothing here is operative or proposed regulatory text. Every mapping is a reviewable finding; quantitative dial values are deliberately unset.</t>
        </is>
      </c>
    </row>
    <row r="5" ht="23.85" customHeight="1" s="14">
      <c r="A5" s="18" t="inlineStr">
        <is>
          <t>Target set (B)</t>
        </is>
      </c>
      <c r="B5" s="16" t="inlineStr">
        <is>
          <t>26 consolidated targets (drafted as 6 General-Part mechanics + 24 domain duties; four mechanics embed within domain duties and several duties merge or fold). See the companion document: gsib-board_duties_proposed-consolidated-set_v0.1.</t>
        </is>
      </c>
    </row>
    <row r="6" ht="23.85" customHeight="1" s="14">
      <c r="A6" s="18" t="inlineStr">
        <is>
          <t>Verification</t>
        </is>
      </c>
      <c r="B6" s="16" t="inlineStr">
        <is>
          <t>142 of 227 rows verified against primary sources with pinned verbatim quotes (eCFR, U.S. Code, agency releases); 85 remain unverified (mostly exam-manual/guidance paraphrases); 0 contradicted across all passes.</t>
        </is>
      </c>
    </row>
    <row r="7" ht="23.85" customHeight="1" s="14">
      <c r="A7" s="18" t="inlineStr">
        <is>
          <t>Dispositions</t>
        </is>
      </c>
      <c r="B7" s="16" t="inlineStr">
        <is>
          <t>Consolidated = merged/deemed/cross-referenced into a target duty · Folded = absorbed into another duty or General-Part mechanic · Retained = kept as-is (statutory floor or distinct purpose) · Open branch = pending policy choice (DFA §956).</t>
        </is>
      </c>
    </row>
    <row r="8" ht="15" customHeight="1" s="14">
      <c r="A8" s="18" t="inlineStr">
        <is>
          <t>Sheets</t>
        </is>
      </c>
      <c r="B8" s="16" t="inlineStr">
        <is>
          <t>All Duties A→B = the full crosswalk · By Target = pivot by consolidated duty · Summary = counts.</t>
        </is>
      </c>
    </row>
    <row r="9" ht="23.85" customHeight="1" s="14">
      <c r="A9" s="18" t="inlineStr">
        <is>
          <t>Provenance</t>
        </is>
      </c>
      <c r="B9" s="16" t="inlineStr">
        <is>
          <t>Built 2026-07-02 from the BoardDistill pipeline (verification cache, lever decompositions, human dispositions of M. Hsu). Full audit trail in the project repository.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2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13" min="1" max="1"/>
    <col width="28" customWidth="1" style="13" min="2" max="2"/>
    <col width="60" customWidth="1" style="13" min="3" max="3"/>
    <col width="30" customWidth="1" style="13" min="4" max="4"/>
    <col width="16" customWidth="1" style="13" min="5" max="5"/>
    <col width="8" customWidth="1" style="13" min="6" max="6"/>
    <col width="18" customWidth="1" style="13" min="7" max="7"/>
    <col width="12" customWidth="1" style="13" min="8" max="8"/>
    <col width="11" customWidth="1" style="13" min="9" max="9"/>
    <col width="12" customWidth="1" style="13" min="10" max="10"/>
    <col width="44" customWidth="1" style="13" min="11" max="11"/>
    <col width="9" customWidth="1" style="13" min="12" max="12"/>
    <col width="60" customWidth="1" style="13" min="13" max="13"/>
  </cols>
  <sheetData>
    <row r="1" ht="23.85" customHeight="1" s="14">
      <c r="A1" s="19" t="inlineStr">
        <is>
          <t>Duty ID</t>
        </is>
      </c>
      <c r="B1" s="19" t="inlineStr">
        <is>
          <t>Cluster (today)</t>
        </is>
      </c>
      <c r="C1" s="19" t="inlineStr">
        <is>
          <t>Duty (today)</t>
        </is>
      </c>
      <c r="D1" s="19" t="inlineStr">
        <is>
          <t>Citation</t>
        </is>
      </c>
      <c r="E1" s="19" t="inlineStr">
        <is>
          <t>Force</t>
        </is>
      </c>
      <c r="F1" s="19" t="inlineStr">
        <is>
          <t>Entity</t>
        </is>
      </c>
      <c r="G1" s="19" t="inlineStr">
        <is>
          <t>Board level</t>
        </is>
      </c>
      <c r="H1" s="19" t="inlineStr">
        <is>
          <t>Layer</t>
        </is>
      </c>
      <c r="I1" s="19" t="inlineStr">
        <is>
          <t>Verified?</t>
        </is>
      </c>
      <c r="J1" s="19" t="inlineStr">
        <is>
          <t>Disposition</t>
        </is>
      </c>
      <c r="K1" s="19" t="inlineStr">
        <is>
          <t>Operation(s) applied</t>
        </is>
      </c>
      <c r="L1" s="19" t="inlineStr">
        <is>
          <t>Target ID</t>
        </is>
      </c>
      <c r="M1" s="19" t="inlineStr">
        <is>
          <t>Consolidated duty (proposed)</t>
        </is>
      </c>
    </row>
    <row r="2" ht="23.85" customHeight="1" s="14">
      <c r="A2" s="20" t="inlineStr">
        <is>
          <t>b:IND-03</t>
        </is>
      </c>
      <c r="B2" s="20" t="inlineStr">
        <is>
          <t>Board self-assessment / effectiveness</t>
        </is>
      </c>
      <c r="C2" s="20" t="inlineStr">
        <is>
          <t>Board must conduct an annual self-assessment of its effectiveness in meeting the Section III standards.</t>
        </is>
      </c>
      <c r="D2" s="20" t="inlineStr">
        <is>
          <t>App. D, sec. III.F</t>
        </is>
      </c>
      <c r="E2" s="20" t="inlineStr">
        <is>
          <t>regulation</t>
        </is>
      </c>
      <c r="F2" s="20" t="inlineStr">
        <is>
          <t>IDI</t>
        </is>
      </c>
      <c r="G2" s="20" t="inlineStr">
        <is>
          <t>Full board</t>
        </is>
      </c>
      <c r="H2" s="20" t="inlineStr">
        <is>
          <t>binding</t>
        </is>
      </c>
      <c r="I2" s="20" t="inlineStr">
        <is>
          <t>verified</t>
        </is>
      </c>
      <c r="J2" s="21" t="inlineStr">
        <is>
          <t>Consolidated</t>
        </is>
      </c>
      <c r="K2" s="20" t="inlineStr">
        <is>
          <t>MERGE+CANONICALIZE_DEFINITION+RESOLVE_CROSS_REFERENCE</t>
        </is>
      </c>
      <c r="L2" s="20" t="inlineStr">
        <is>
          <t>G5</t>
        </is>
      </c>
      <c r="M2" s="20" t="inlineStr">
        <is>
          <t>General Part: one annual board self-assessment (App. D III.F + SR 21-3)</t>
        </is>
      </c>
    </row>
    <row r="3" ht="23.85" customHeight="1" s="14">
      <c r="A3" s="20" t="inlineStr">
        <is>
          <t>s:GOV-14</t>
        </is>
      </c>
      <c r="B3" s="20" t="inlineStr">
        <is>
          <t>Board self-assessment / effectiveness</t>
        </is>
      </c>
      <c r="C3" s="20" t="inlineStr">
        <is>
          <t>Board conducts an annual self-assessment of its strengths and weaknesses, including committee (risk, audit, key committe</t>
        </is>
      </c>
      <c r="D3" s="20" t="inlineStr">
        <is>
          <t>Attachment, Attribute 5, p. 7</t>
        </is>
      </c>
      <c r="E3" s="20" t="inlineStr">
        <is>
          <t>guidance</t>
        </is>
      </c>
      <c r="F3" s="20" t="inlineStr">
        <is>
          <t>BHC</t>
        </is>
      </c>
      <c r="G3" s="20" t="inlineStr">
        <is>
          <t>Full board</t>
        </is>
      </c>
      <c r="H3" s="20" t="inlineStr">
        <is>
          <t>supervisory</t>
        </is>
      </c>
      <c r="I3" s="20" t="inlineStr">
        <is>
          <t>verified</t>
        </is>
      </c>
      <c r="J3" s="21" t="inlineStr">
        <is>
          <t>Consolidated</t>
        </is>
      </c>
      <c r="K3" s="20" t="inlineStr">
        <is>
          <t>MERGE+CANONICALIZE_DEFINITION+RESOLVE_CROSS_REFERENCE</t>
        </is>
      </c>
      <c r="L3" s="20" t="inlineStr">
        <is>
          <t>G5</t>
        </is>
      </c>
      <c r="M3" s="20" t="inlineStr">
        <is>
          <t>General Part: one annual board self-assessment (App. D III.F + SR 21-3)</t>
        </is>
      </c>
    </row>
    <row r="4" ht="23.85" customHeight="1" s="14">
      <c r="A4" s="20" t="inlineStr">
        <is>
          <t>s:GOV-26</t>
        </is>
      </c>
      <c r="B4" s="20" t="inlineStr">
        <is>
          <t>Board self-assessment / effectiveness</t>
        </is>
      </c>
      <c r="C4" s="20" t="inlineStr">
        <is>
          <t>Board conducts an annual self-assessment of its effectiveness in meeting the Section III standards.</t>
        </is>
      </c>
      <c r="D4" s="20" t="inlineStr">
        <is>
          <t>App. D, sec. III.F</t>
        </is>
      </c>
      <c r="E4" s="20" t="inlineStr">
        <is>
          <t>regulation</t>
        </is>
      </c>
      <c r="F4" s="20" t="inlineStr">
        <is>
          <t>IDI</t>
        </is>
      </c>
      <c r="G4" s="20" t="inlineStr">
        <is>
          <t>Full board</t>
        </is>
      </c>
      <c r="H4" s="20" t="inlineStr">
        <is>
          <t>supervisory</t>
        </is>
      </c>
      <c r="I4" s="20" t="inlineStr">
        <is>
          <t>verified</t>
        </is>
      </c>
      <c r="J4" s="21" t="inlineStr">
        <is>
          <t>Consolidated</t>
        </is>
      </c>
      <c r="K4" s="20" t="inlineStr">
        <is>
          <t>MERGE+CANONICALIZE_DEFINITION+RESOLVE_CROSS_REFERENCE</t>
        </is>
      </c>
      <c r="L4" s="20" t="inlineStr">
        <is>
          <t>G5</t>
        </is>
      </c>
      <c r="M4" s="20" t="inlineStr">
        <is>
          <t>General Part: one annual board self-assessment (App. D III.F + SR 21-3)</t>
        </is>
      </c>
    </row>
    <row r="5" ht="23.85" customHeight="1" s="14">
      <c r="A5" s="20" t="inlineStr">
        <is>
          <t>b:IND-01</t>
        </is>
      </c>
      <c r="B5" s="20" t="inlineStr">
        <is>
          <t>Director independence (cross-cutting)</t>
        </is>
      </c>
      <c r="C5" s="20" t="inlineStr">
        <is>
          <t>At least two members of the board must be independent (3-year no-officer/employee test; no immediate-family executive ti</t>
        </is>
      </c>
      <c r="D5" s="20" t="inlineStr">
        <is>
          <t>App. D, sec. III.D</t>
        </is>
      </c>
      <c r="E5" s="20" t="inlineStr">
        <is>
          <t>regulation</t>
        </is>
      </c>
      <c r="F5" s="20" t="inlineStr">
        <is>
          <t>IDI</t>
        </is>
      </c>
      <c r="G5" s="20" t="inlineStr">
        <is>
          <t>Full board (composition)</t>
        </is>
      </c>
      <c r="H5" s="20" t="inlineStr">
        <is>
          <t>binding</t>
        </is>
      </c>
      <c r="I5" s="20" t="inlineStr">
        <is>
          <t>verified</t>
        </is>
      </c>
      <c r="J5" s="21" t="inlineStr">
        <is>
          <t>Consolidated</t>
        </is>
      </c>
      <c r="K5" s="20" t="inlineStr">
        <is>
          <t>CANONICALIZE_DEFINITION</t>
        </is>
      </c>
      <c r="L5" s="20" t="inlineStr">
        <is>
          <t>G6</t>
        </is>
      </c>
      <c r="M5" s="20" t="inlineStr">
        <is>
          <t>General Part: one canonical independent-director definition</t>
        </is>
      </c>
    </row>
    <row r="6" ht="23.85" customHeight="1" s="14">
      <c r="A6" s="20" t="inlineStr">
        <is>
          <t>b:IND-04</t>
        </is>
      </c>
      <c r="B6" s="20" t="inlineStr">
        <is>
          <t>Director independence (cross-cutting)</t>
        </is>
      </c>
      <c r="C6" s="20" t="inlineStr">
        <is>
          <t>Each member of the board should exercise sound, independent judgment.</t>
        </is>
      </c>
      <c r="D6" s="20" t="inlineStr">
        <is>
          <t>App. D, sec. III.C</t>
        </is>
      </c>
      <c r="E6" s="20" t="inlineStr">
        <is>
          <t>regulation</t>
        </is>
      </c>
      <c r="F6" s="20" t="inlineStr">
        <is>
          <t>IDI</t>
        </is>
      </c>
      <c r="G6" s="20" t="inlineStr">
        <is>
          <t>Each director</t>
        </is>
      </c>
      <c r="H6" s="20" t="inlineStr">
        <is>
          <t>binding</t>
        </is>
      </c>
      <c r="I6" s="20" t="inlineStr">
        <is>
          <t>verified</t>
        </is>
      </c>
      <c r="J6" s="21" t="inlineStr">
        <is>
          <t>Consolidated</t>
        </is>
      </c>
      <c r="K6" s="20" t="inlineStr">
        <is>
          <t>CANONICALIZE_DEFINITION</t>
        </is>
      </c>
      <c r="L6" s="20" t="inlineStr">
        <is>
          <t>G6</t>
        </is>
      </c>
      <c r="M6" s="20" t="inlineStr">
        <is>
          <t>General Part: one canonical independent-director definition</t>
        </is>
      </c>
    </row>
    <row r="7" ht="23.85" customHeight="1" s="14">
      <c r="A7" s="20" t="inlineStr">
        <is>
          <t>b:IND-05</t>
        </is>
      </c>
      <c r="B7" s="20" t="inlineStr">
        <is>
          <t>Director independence (cross-cutting)</t>
        </is>
      </c>
      <c r="C7" s="20" t="inlineStr">
        <is>
          <t>All audit-committee members must be independent, and the committee must have authority to engage independent counsel and</t>
        </is>
      </c>
      <c r="D7" s="20" t="inlineStr">
        <is>
          <t>SOX sec. 301; 17 CFR 240.10A-3</t>
        </is>
      </c>
      <c r="E7" s="20" t="inlineStr">
        <is>
          <t>regulation</t>
        </is>
      </c>
      <c r="F7" s="20" t="inlineStr">
        <is>
          <t>BHC</t>
        </is>
      </c>
      <c r="G7" s="20" t="inlineStr">
        <is>
          <t>Audit committee</t>
        </is>
      </c>
      <c r="H7" s="20" t="inlineStr">
        <is>
          <t>binding</t>
        </is>
      </c>
      <c r="I7" s="20" t="inlineStr">
        <is>
          <t>verified</t>
        </is>
      </c>
      <c r="J7" s="21" t="inlineStr">
        <is>
          <t>Consolidated</t>
        </is>
      </c>
      <c r="K7" s="20" t="inlineStr">
        <is>
          <t>CANONICALIZE_DEFINITION</t>
        </is>
      </c>
      <c r="L7" s="20" t="inlineStr">
        <is>
          <t>G6</t>
        </is>
      </c>
      <c r="M7" s="20" t="inlineStr">
        <is>
          <t>General Part: one canonical independent-director definition</t>
        </is>
      </c>
    </row>
    <row r="8" ht="57.45" customHeight="1" s="14">
      <c r="A8" s="20" t="inlineStr">
        <is>
          <t>b:IND-06</t>
        </is>
      </c>
      <c r="B8" s="20" t="inlineStr">
        <is>
          <t>Director independence (cross-cutting)</t>
        </is>
      </c>
      <c r="C8" s="20" t="inlineStr">
        <is>
          <t>Majority-independent board; compensation committee fully independent; director nominations by independent directors or a</t>
        </is>
      </c>
      <c r="D8" s="20" t="inlineStr">
        <is>
          <t>NYSE Listed Company Manual 303A; Nasdaq Rule 5600</t>
        </is>
      </c>
      <c r="E8" s="20" t="inlineStr">
        <is>
          <t>guidance</t>
        </is>
      </c>
      <c r="F8" s="20" t="inlineStr">
        <is>
          <t>BHC</t>
        </is>
      </c>
      <c r="G8" s="20" t="inlineStr">
        <is>
          <t>Full board; compensation committee; nominating committee</t>
        </is>
      </c>
      <c r="H8" s="20" t="inlineStr">
        <is>
          <t>binding</t>
        </is>
      </c>
      <c r="I8" s="22" t="inlineStr">
        <is>
          <t>unverified</t>
        </is>
      </c>
      <c r="J8" s="21" t="inlineStr">
        <is>
          <t>Consolidated</t>
        </is>
      </c>
      <c r="K8" s="20" t="inlineStr">
        <is>
          <t>CANONICALIZE_DEFINITION</t>
        </is>
      </c>
      <c r="L8" s="20" t="inlineStr">
        <is>
          <t>G6</t>
        </is>
      </c>
      <c r="M8" s="20" t="inlineStr">
        <is>
          <t>General Part: one canonical independent-director definition</t>
        </is>
      </c>
    </row>
    <row r="9" ht="23.85" customHeight="1" s="14">
      <c r="A9" s="20" t="inlineStr">
        <is>
          <t>b:IND-08</t>
        </is>
      </c>
      <c r="B9" s="20" t="inlineStr">
        <is>
          <t>Director independence (cross-cutting)</t>
        </is>
      </c>
      <c r="C9" s="20" t="inlineStr">
        <is>
          <t>Board must disclose audit-committee financial expert(s) and compensation-committee independence and processes.</t>
        </is>
      </c>
      <c r="D9" s="20" t="inlineStr">
        <is>
          <t>17 CFR 229.407</t>
        </is>
      </c>
      <c r="E9" s="20" t="inlineStr">
        <is>
          <t>regulation</t>
        </is>
      </c>
      <c r="F9" s="20" t="inlineStr">
        <is>
          <t>BHC</t>
        </is>
      </c>
      <c r="G9" s="20" t="inlineStr">
        <is>
          <t>Full board / audit &amp; comp committees</t>
        </is>
      </c>
      <c r="H9" s="20" t="inlineStr">
        <is>
          <t>binding</t>
        </is>
      </c>
      <c r="I9" s="20" t="inlineStr">
        <is>
          <t>verified</t>
        </is>
      </c>
      <c r="J9" s="21" t="inlineStr">
        <is>
          <t>Consolidated</t>
        </is>
      </c>
      <c r="K9" s="20" t="inlineStr">
        <is>
          <t>CANONICALIZE_DEFINITION</t>
        </is>
      </c>
      <c r="L9" s="20" t="inlineStr">
        <is>
          <t>G6</t>
        </is>
      </c>
      <c r="M9" s="20" t="inlineStr">
        <is>
          <t>General Part: one canonical independent-director definition</t>
        </is>
      </c>
    </row>
    <row r="10" ht="23.85" customHeight="1" s="14">
      <c r="A10" s="20" t="inlineStr">
        <is>
          <t>s:GOV-05</t>
        </is>
      </c>
      <c r="B10" s="20" t="inlineStr">
        <is>
          <t>Director independence (cross-cutting)</t>
        </is>
      </c>
      <c r="C10" s="20" t="inlineStr">
        <is>
          <t xml:space="preserve">Independent directors, particularly the lead independent director or independent board chair and committee chairs, take </t>
        </is>
      </c>
      <c r="D10" s="20" t="inlineStr">
        <is>
          <t>Attachment, Attribute 2, p. 4</t>
        </is>
      </c>
      <c r="E10" s="20" t="inlineStr">
        <is>
          <t>guidance</t>
        </is>
      </c>
      <c r="F10" s="20" t="inlineStr">
        <is>
          <t>BHC</t>
        </is>
      </c>
      <c r="G10" s="20" t="inlineStr">
        <is>
          <t>Full board</t>
        </is>
      </c>
      <c r="H10" s="20" t="inlineStr">
        <is>
          <t>supervisory</t>
        </is>
      </c>
      <c r="I10" s="20" t="inlineStr">
        <is>
          <t>verified</t>
        </is>
      </c>
      <c r="J10" s="21" t="inlineStr">
        <is>
          <t>Consolidated</t>
        </is>
      </c>
      <c r="K10" s="20" t="inlineStr">
        <is>
          <t>CANONICALIZE_DEFINITION</t>
        </is>
      </c>
      <c r="L10" s="20" t="inlineStr">
        <is>
          <t>G6</t>
        </is>
      </c>
      <c r="M10" s="20" t="inlineStr">
        <is>
          <t>General Part: one canonical independent-director definition</t>
        </is>
      </c>
    </row>
    <row r="11" ht="23.85" customHeight="1" s="14">
      <c r="A11" s="20" t="inlineStr">
        <is>
          <t>s:GOV-07</t>
        </is>
      </c>
      <c r="B11" s="20" t="inlineStr">
        <is>
          <t>Director independence (cross-cutting)</t>
        </is>
      </c>
      <c r="C11" s="20" t="inlineStr">
        <is>
          <t>Board has independent directors sufficiently empowered to serve as an effective check against firm executives who sit on</t>
        </is>
      </c>
      <c r="D11" s="20" t="inlineStr">
        <is>
          <t>Attachment, Attribute 3, p. 5</t>
        </is>
      </c>
      <c r="E11" s="20" t="inlineStr">
        <is>
          <t>guidance</t>
        </is>
      </c>
      <c r="F11" s="20" t="inlineStr">
        <is>
          <t>BHC</t>
        </is>
      </c>
      <c r="G11" s="20" t="inlineStr">
        <is>
          <t>Full board</t>
        </is>
      </c>
      <c r="H11" s="20" t="inlineStr">
        <is>
          <t>supervisory</t>
        </is>
      </c>
      <c r="I11" s="20" t="inlineStr">
        <is>
          <t>verified</t>
        </is>
      </c>
      <c r="J11" s="21" t="inlineStr">
        <is>
          <t>Consolidated</t>
        </is>
      </c>
      <c r="K11" s="20" t="inlineStr">
        <is>
          <t>CANONICALIZE_DEFINITION</t>
        </is>
      </c>
      <c r="L11" s="20" t="inlineStr">
        <is>
          <t>G6</t>
        </is>
      </c>
      <c r="M11" s="20" t="inlineStr">
        <is>
          <t>General Part: one canonical independent-director definition</t>
        </is>
      </c>
    </row>
    <row r="12" ht="23.85" customHeight="1" s="14">
      <c r="A12" s="20" t="inlineStr">
        <is>
          <t>s:GOV-10</t>
        </is>
      </c>
      <c r="B12" s="20" t="inlineStr">
        <is>
          <t>Director independence (cross-cutting)</t>
        </is>
      </c>
      <c r="C12" s="20" t="inlineStr">
        <is>
          <t xml:space="preserve">Through its risk and audit committees, the board assesses and supports the stature and independence of independent risk </t>
        </is>
      </c>
      <c r="D12" s="20" t="inlineStr">
        <is>
          <t>Attachment, Attribute 4, pp. 5-6</t>
        </is>
      </c>
      <c r="E12" s="20" t="inlineStr">
        <is>
          <t>guidance</t>
        </is>
      </c>
      <c r="F12" s="20" t="inlineStr">
        <is>
          <t>BHC</t>
        </is>
      </c>
      <c r="G12" s="20" t="inlineStr">
        <is>
          <t>Risk committee; Audit committee</t>
        </is>
      </c>
      <c r="H12" s="20" t="inlineStr">
        <is>
          <t>supervisory</t>
        </is>
      </c>
      <c r="I12" s="20" t="inlineStr">
        <is>
          <t>verified</t>
        </is>
      </c>
      <c r="J12" s="21" t="inlineStr">
        <is>
          <t>Consolidated</t>
        </is>
      </c>
      <c r="K12" s="20" t="inlineStr">
        <is>
          <t>CANONICALIZE_DEFINITION</t>
        </is>
      </c>
      <c r="L12" s="20" t="inlineStr">
        <is>
          <t>G6</t>
        </is>
      </c>
      <c r="M12" s="20" t="inlineStr">
        <is>
          <t>General Part: one canonical independent-director definition</t>
        </is>
      </c>
    </row>
    <row r="13" ht="23.85" customHeight="1" s="14">
      <c r="A13" s="20" t="inlineStr">
        <is>
          <t>s:GOV-16</t>
        </is>
      </c>
      <c r="B13" s="20" t="inlineStr">
        <is>
          <t>Director independence (cross-cutting)</t>
        </is>
      </c>
      <c r="C13" s="20" t="inlineStr">
        <is>
          <t>Board sets direction/oversight for revenue generation and control functions; ensures management capability; emphasizes c</t>
        </is>
      </c>
      <c r="D13" s="20" t="inlineStr">
        <is>
          <t>Section A.2(a)-(f); A.1(f)</t>
        </is>
      </c>
      <c r="E13" s="20" t="inlineStr">
        <is>
          <t>guidance</t>
        </is>
      </c>
      <c r="F13" s="20" t="inlineStr">
        <is>
          <t>BHC</t>
        </is>
      </c>
      <c r="G13" s="20" t="inlineStr">
        <is>
          <t>Full board</t>
        </is>
      </c>
      <c r="H13" s="20" t="inlineStr">
        <is>
          <t>supervisory</t>
        </is>
      </c>
      <c r="I13" s="22" t="inlineStr">
        <is>
          <t>unverified</t>
        </is>
      </c>
      <c r="J13" s="21" t="inlineStr">
        <is>
          <t>Consolidated</t>
        </is>
      </c>
      <c r="K13" s="20" t="inlineStr">
        <is>
          <t>CANONICALIZE_DEFINITION</t>
        </is>
      </c>
      <c r="L13" s="20" t="inlineStr">
        <is>
          <t>G6</t>
        </is>
      </c>
      <c r="M13" s="20" t="inlineStr">
        <is>
          <t>General Part: one canonical independent-director definition</t>
        </is>
      </c>
    </row>
    <row r="14" ht="23.85" customHeight="1" s="14">
      <c r="A14" s="20" t="inlineStr">
        <is>
          <t>s:GOV-17</t>
        </is>
      </c>
      <c r="B14" s="20" t="inlineStr">
        <is>
          <t>Director independence (cross-cutting)</t>
        </is>
      </c>
      <c r="C14" s="20" t="inlineStr">
        <is>
          <t>Recovery and resolution planning are integrated into governance, independently validated, and supported by MIS reporting</t>
        </is>
      </c>
      <c r="D14" s="20" t="inlineStr">
        <is>
          <t>Sections A.3(f), B.3(g)</t>
        </is>
      </c>
      <c r="E14" s="20" t="inlineStr">
        <is>
          <t>guidance</t>
        </is>
      </c>
      <c r="F14" s="20" t="inlineStr">
        <is>
          <t>BHC</t>
        </is>
      </c>
      <c r="G14" s="20" t="inlineStr">
        <is>
          <t>Full board; committees</t>
        </is>
      </c>
      <c r="H14" s="20" t="inlineStr">
        <is>
          <t>supervisory</t>
        </is>
      </c>
      <c r="I14" s="20" t="inlineStr">
        <is>
          <t>verified</t>
        </is>
      </c>
      <c r="J14" s="21" t="inlineStr">
        <is>
          <t>Consolidated</t>
        </is>
      </c>
      <c r="K14" s="20" t="inlineStr">
        <is>
          <t>CANONICALIZE_DEFINITION</t>
        </is>
      </c>
      <c r="L14" s="20" t="inlineStr">
        <is>
          <t>G6</t>
        </is>
      </c>
      <c r="M14" s="20" t="inlineStr">
        <is>
          <t>General Part: one canonical independent-director definition</t>
        </is>
      </c>
    </row>
    <row r="15" ht="23.85" customHeight="1" s="14">
      <c r="A15" s="20" t="inlineStr">
        <is>
          <t>s:GOV-23</t>
        </is>
      </c>
      <c r="B15" s="20" t="inlineStr">
        <is>
          <t>Director independence (cross-cutting)</t>
        </is>
      </c>
      <c r="C15" s="20" t="inlineStr">
        <is>
          <t>Each member of the board should exercise sound, independent judgment.</t>
        </is>
      </c>
      <c r="D15" s="20" t="inlineStr">
        <is>
          <t>App. D, sec. III.C</t>
        </is>
      </c>
      <c r="E15" s="20" t="inlineStr">
        <is>
          <t>regulation</t>
        </is>
      </c>
      <c r="F15" s="20" t="inlineStr">
        <is>
          <t>IDI</t>
        </is>
      </c>
      <c r="G15" s="20" t="inlineStr">
        <is>
          <t>Each director</t>
        </is>
      </c>
      <c r="H15" s="20" t="inlineStr">
        <is>
          <t>supervisory</t>
        </is>
      </c>
      <c r="I15" s="20" t="inlineStr">
        <is>
          <t>verified</t>
        </is>
      </c>
      <c r="J15" s="21" t="inlineStr">
        <is>
          <t>Consolidated</t>
        </is>
      </c>
      <c r="K15" s="20" t="inlineStr">
        <is>
          <t>CANONICALIZE_DEFINITION</t>
        </is>
      </c>
      <c r="L15" s="20" t="inlineStr">
        <is>
          <t>G6</t>
        </is>
      </c>
      <c r="M15" s="20" t="inlineStr">
        <is>
          <t>General Part: one canonical independent-director definition</t>
        </is>
      </c>
    </row>
    <row r="16" ht="23.85" customHeight="1" s="14">
      <c r="A16" s="20" t="inlineStr">
        <is>
          <t>s:GOV-24</t>
        </is>
      </c>
      <c r="B16" s="20" t="inlineStr">
        <is>
          <t>Director independence (cross-cutting)</t>
        </is>
      </c>
      <c r="C16" s="20" t="inlineStr">
        <is>
          <t>Board should include at least two members who are not officers/employees of the parent or bank within the prior 3 years,</t>
        </is>
      </c>
      <c r="D16" s="20" t="inlineStr">
        <is>
          <t>App. D, sec. III.D</t>
        </is>
      </c>
      <c r="E16" s="20" t="inlineStr">
        <is>
          <t>regulation</t>
        </is>
      </c>
      <c r="F16" s="20" t="inlineStr">
        <is>
          <t>IDI</t>
        </is>
      </c>
      <c r="G16" s="20" t="inlineStr">
        <is>
          <t>Full board (composition)</t>
        </is>
      </c>
      <c r="H16" s="20" t="inlineStr">
        <is>
          <t>supervisory</t>
        </is>
      </c>
      <c r="I16" s="20" t="inlineStr">
        <is>
          <t>verified</t>
        </is>
      </c>
      <c r="J16" s="21" t="inlineStr">
        <is>
          <t>Consolidated</t>
        </is>
      </c>
      <c r="K16" s="20" t="inlineStr">
        <is>
          <t>CANONICALIZE_DEFINITION</t>
        </is>
      </c>
      <c r="L16" s="20" t="inlineStr">
        <is>
          <t>G6</t>
        </is>
      </c>
      <c r="M16" s="20" t="inlineStr">
        <is>
          <t>General Part: one canonical independent-director definition</t>
        </is>
      </c>
    </row>
    <row r="17" ht="35.05" customHeight="1" s="14">
      <c r="A17" s="20" t="inlineStr">
        <is>
          <t>s:GOV-28</t>
        </is>
      </c>
      <c r="B17" s="20" t="inlineStr">
        <is>
          <t>Director independence (cross-cutting)</t>
        </is>
      </c>
      <c r="C17" s="20" t="inlineStr">
        <is>
          <t>Board or appropriate committee appoints the CEO and appoints/approves the CAE and CRO(s); reviews/approves the written t</t>
        </is>
      </c>
      <c r="D17" s="20" t="inlineStr">
        <is>
          <t>App. D, sec. II.L; definitions of 'independent risk management' and 'internal audit'</t>
        </is>
      </c>
      <c r="E17" s="20" t="inlineStr">
        <is>
          <t>regulation</t>
        </is>
      </c>
      <c r="F17" s="20" t="inlineStr">
        <is>
          <t>IDI</t>
        </is>
      </c>
      <c r="G17" s="20" t="inlineStr">
        <is>
          <t>Full board; Risk committee; Audit committee</t>
        </is>
      </c>
      <c r="H17" s="20" t="inlineStr">
        <is>
          <t>supervisory</t>
        </is>
      </c>
      <c r="I17" s="20" t="inlineStr">
        <is>
          <t>verified</t>
        </is>
      </c>
      <c r="J17" s="21" t="inlineStr">
        <is>
          <t>Consolidated</t>
        </is>
      </c>
      <c r="K17" s="20" t="inlineStr">
        <is>
          <t>CANONICALIZE_DEFINITION</t>
        </is>
      </c>
      <c r="L17" s="20" t="inlineStr">
        <is>
          <t>G6</t>
        </is>
      </c>
      <c r="M17" s="20" t="inlineStr">
        <is>
          <t>General Part: one canonical independent-director definition</t>
        </is>
      </c>
    </row>
    <row r="18" ht="35.05" customHeight="1" s="14">
      <c r="A18" s="20" t="inlineStr">
        <is>
          <t>s:GOV-30</t>
        </is>
      </c>
      <c r="B18" s="20" t="inlineStr">
        <is>
          <t>Director independence (cross-cutting)</t>
        </is>
      </c>
      <c r="C18" s="20" t="inlineStr">
        <is>
          <t>Each director should: maintain independence and exercise independent judgment; keep informed (attend meetings, review ma</t>
        </is>
      </c>
      <c r="D18" s="20" t="inlineStr">
        <is>
          <t>Five enumerated duties</t>
        </is>
      </c>
      <c r="E18" s="20" t="inlineStr">
        <is>
          <t>guidance</t>
        </is>
      </c>
      <c r="F18" s="20" t="inlineStr">
        <is>
          <t>IDI</t>
        </is>
      </c>
      <c r="G18" s="20" t="inlineStr">
        <is>
          <t>Full board (audit committee for auditor oversight)</t>
        </is>
      </c>
      <c r="H18" s="20" t="inlineStr">
        <is>
          <t>supervisory</t>
        </is>
      </c>
      <c r="I18" s="22" t="inlineStr">
        <is>
          <t>unverified</t>
        </is>
      </c>
      <c r="J18" s="21" t="inlineStr">
        <is>
          <t>Consolidated</t>
        </is>
      </c>
      <c r="K18" s="20" t="inlineStr">
        <is>
          <t>CANONICALIZE_DEFINITION</t>
        </is>
      </c>
      <c r="L18" s="20" t="inlineStr">
        <is>
          <t>G6</t>
        </is>
      </c>
      <c r="M18" s="20" t="inlineStr">
        <is>
          <t>General Part: one canonical independent-director definition</t>
        </is>
      </c>
    </row>
    <row r="19" ht="35.05" customHeight="1" s="14">
      <c r="A19" s="20" t="inlineStr">
        <is>
          <t>s:SUB-01</t>
        </is>
      </c>
      <c r="B19" s="20" t="inlineStr">
        <is>
          <t>Director independence (cross-cutting)</t>
        </is>
      </c>
      <c r="C19" s="20" t="inlineStr">
        <is>
          <t>The primary duty of a subsidiary bank's board is to ensure the bank operates safely and soundly; the bank's board must e</t>
        </is>
      </c>
      <c r="D19" s="20" t="inlineStr">
        <is>
          <t>Corporate Governance — subsidiary bank / affiliate relationships (local ll. ~1915-1962)</t>
        </is>
      </c>
      <c r="E19" s="20" t="inlineStr">
        <is>
          <t>guidance</t>
        </is>
      </c>
      <c r="F19" s="20" t="inlineStr">
        <is>
          <t>IDI</t>
        </is>
      </c>
      <c r="G19" s="20" t="inlineStr">
        <is>
          <t>IDI (subsidiary) board</t>
        </is>
      </c>
      <c r="H19" s="20" t="inlineStr">
        <is>
          <t>supervisory</t>
        </is>
      </c>
      <c r="I19" s="22" t="inlineStr">
        <is>
          <t>unverified</t>
        </is>
      </c>
      <c r="J19" s="21" t="inlineStr">
        <is>
          <t>Consolidated</t>
        </is>
      </c>
      <c r="K19" s="20" t="inlineStr">
        <is>
          <t>CANONICALIZE_DEFINITION</t>
        </is>
      </c>
      <c r="L19" s="20" t="inlineStr">
        <is>
          <t>G6</t>
        </is>
      </c>
      <c r="M19" s="20" t="inlineStr">
        <is>
          <t>General Part: one canonical independent-director definition</t>
        </is>
      </c>
    </row>
    <row r="20" ht="23.85" customHeight="1" s="14">
      <c r="A20" s="20" t="inlineStr">
        <is>
          <t>b:SS-02</t>
        </is>
      </c>
      <c r="B20" s="20" t="inlineStr">
        <is>
          <t>Source of strength / charter sanctity</t>
        </is>
      </c>
      <c r="C20" s="20" t="inlineStr">
        <is>
          <t>The parent holding company (and its board) must serve as a source of financial strength to its insured subsidiary bank.</t>
        </is>
      </c>
      <c r="D20" s="20" t="inlineStr">
        <is>
          <t>12 U.S.C. 1831o-1; Regulation Y, 12 CFR 225.4(a)</t>
        </is>
      </c>
      <c r="E20" s="20" t="inlineStr">
        <is>
          <t>statute</t>
        </is>
      </c>
      <c r="F20" s="20" t="inlineStr">
        <is>
          <t>BHC</t>
        </is>
      </c>
      <c r="G20" s="20" t="inlineStr">
        <is>
          <t>Full board</t>
        </is>
      </c>
      <c r="H20" s="20" t="inlineStr">
        <is>
          <t>binding</t>
        </is>
      </c>
      <c r="I20" s="20" t="inlineStr">
        <is>
          <t>verified</t>
        </is>
      </c>
      <c r="J20" s="23" t="inlineStr">
        <is>
          <t>Retained</t>
        </is>
      </c>
      <c r="K20" s="20" t="inlineStr">
        <is>
          <t>per-cluster package</t>
        </is>
      </c>
      <c r="L20" s="20" t="inlineStr">
        <is>
          <t>R</t>
        </is>
      </c>
      <c r="M20" s="20" t="inlineStr">
        <is>
          <t>Source-of-strength / charter-sanctity — statutory, retained as-is</t>
        </is>
      </c>
    </row>
    <row r="21" ht="23.85" customHeight="1" s="14">
      <c r="A21" s="20" t="inlineStr">
        <is>
          <t>p:PLB-01</t>
        </is>
      </c>
      <c r="B21" s="20" t="inlineStr">
        <is>
          <t>Personal liability</t>
        </is>
      </c>
      <c r="C21" s="20" t="inlineStr">
        <is>
          <t>Criminal liability for false entries: every director of a bank or BHC is subject to the same criminal penalties for fals</t>
        </is>
      </c>
      <c r="D21" s="20" t="inlineStr">
        <is>
          <t>18 U.S.C. 1005; 12 U.S.C. 1847(a)(2)</t>
        </is>
      </c>
      <c r="E21" s="20" t="inlineStr">
        <is>
          <t>statute</t>
        </is>
      </c>
      <c r="F21" s="20" t="inlineStr">
        <is>
          <t>both</t>
        </is>
      </c>
      <c r="G21" s="20" t="inlineStr">
        <is>
          <t>Each director</t>
        </is>
      </c>
      <c r="H21" s="20" t="inlineStr">
        <is>
          <t>supervisory</t>
        </is>
      </c>
      <c r="I21" s="20" t="inlineStr">
        <is>
          <t>verified</t>
        </is>
      </c>
      <c r="J21" s="23" t="inlineStr">
        <is>
          <t>Retained</t>
        </is>
      </c>
      <c r="K21" s="20" t="inlineStr">
        <is>
          <t>per-cluster package</t>
        </is>
      </c>
      <c r="L21" s="20" t="inlineStr">
        <is>
          <t>R</t>
        </is>
      </c>
      <c r="M21" s="20" t="inlineStr">
        <is>
          <t>Personal-liability provisions — retained as-is (not a consolidation target)</t>
        </is>
      </c>
    </row>
    <row r="22" ht="23.85" customHeight="1" s="14">
      <c r="A22" s="20" t="inlineStr">
        <is>
          <t>p:PLB-02</t>
        </is>
      </c>
      <c r="B22" s="20" t="inlineStr">
        <is>
          <t>Personal liability</t>
        </is>
      </c>
      <c r="C22" s="20" t="inlineStr">
        <is>
          <t>Removal and prohibition: an institution-affiliated party may be removed/prohibited for misconduct, and a director with k</t>
        </is>
      </c>
      <c r="D22" s="20" t="inlineStr">
        <is>
          <t>FDI Act §8(e); §8(e)(2)(B)</t>
        </is>
      </c>
      <c r="E22" s="20" t="inlineStr">
        <is>
          <t>statute</t>
        </is>
      </c>
      <c r="F22" s="20" t="inlineStr">
        <is>
          <t>both</t>
        </is>
      </c>
      <c r="G22" s="20" t="inlineStr">
        <is>
          <t>Each director</t>
        </is>
      </c>
      <c r="H22" s="20" t="inlineStr">
        <is>
          <t>supervisory</t>
        </is>
      </c>
      <c r="I22" s="22" t="inlineStr">
        <is>
          <t>unverified</t>
        </is>
      </c>
      <c r="J22" s="23" t="inlineStr">
        <is>
          <t>Retained</t>
        </is>
      </c>
      <c r="K22" s="20" t="inlineStr">
        <is>
          <t>per-cluster package</t>
        </is>
      </c>
      <c r="L22" s="20" t="inlineStr">
        <is>
          <t>R</t>
        </is>
      </c>
      <c r="M22" s="20" t="inlineStr">
        <is>
          <t>Personal-liability provisions — retained as-is (not a consolidation target)</t>
        </is>
      </c>
    </row>
    <row r="23" ht="35.05" customHeight="1" s="14">
      <c r="A23" s="20" t="inlineStr">
        <is>
          <t>p:PLB-03</t>
        </is>
      </c>
      <c r="B23" s="20" t="inlineStr">
        <is>
          <t>Personal liability</t>
        </is>
      </c>
      <c r="C23" s="20" t="inlineStr">
        <is>
          <t>Receivership / orderly-liquidation liability: personal liability for gross negligence in FDIC-as-receiver actions, and §</t>
        </is>
      </c>
      <c r="D23" s="20" t="inlineStr">
        <is>
          <t>12 U.S.C. 1821(k); 12 U.S.C. 5390(f); 12 U.S.C. 5390(s); 12 CFR 380.7</t>
        </is>
      </c>
      <c r="E23" s="20" t="inlineStr">
        <is>
          <t>statute</t>
        </is>
      </c>
      <c r="F23" s="20" t="inlineStr">
        <is>
          <t>both</t>
        </is>
      </c>
      <c r="G23" s="20" t="inlineStr">
        <is>
          <t>Each director</t>
        </is>
      </c>
      <c r="H23" s="20" t="inlineStr">
        <is>
          <t>supervisory</t>
        </is>
      </c>
      <c r="I23" s="20" t="inlineStr">
        <is>
          <t>verified</t>
        </is>
      </c>
      <c r="J23" s="23" t="inlineStr">
        <is>
          <t>Retained</t>
        </is>
      </c>
      <c r="K23" s="20" t="inlineStr">
        <is>
          <t>per-cluster package</t>
        </is>
      </c>
      <c r="L23" s="20" t="inlineStr">
        <is>
          <t>R</t>
        </is>
      </c>
      <c r="M23" s="20" t="inlineStr">
        <is>
          <t>Personal-liability provisions — retained as-is (not a consolidation target)</t>
        </is>
      </c>
    </row>
    <row r="24" ht="23.85" customHeight="1" s="14">
      <c r="A24" s="20" t="inlineStr">
        <is>
          <t>p:PLB-04</t>
        </is>
      </c>
      <c r="B24" s="20" t="inlineStr">
        <is>
          <t>Personal liability</t>
        </is>
      </c>
      <c r="C24" s="20" t="inlineStr">
        <is>
          <t>Indemnification limits, D&amp;O insurance, and fidelity bonds: Part 359 prohibits indemnifying culpable IAPs; the board bear</t>
        </is>
      </c>
      <c r="D24" s="20" t="inlineStr">
        <is>
          <t>12 CFR part 359; 12 U.S.C. 1818(n)</t>
        </is>
      </c>
      <c r="E24" s="20" t="inlineStr">
        <is>
          <t>regulation</t>
        </is>
      </c>
      <c r="F24" s="20" t="inlineStr">
        <is>
          <t>both</t>
        </is>
      </c>
      <c r="G24" s="20" t="inlineStr">
        <is>
          <t>Full board / each director</t>
        </is>
      </c>
      <c r="H24" s="20" t="inlineStr">
        <is>
          <t>supervisory</t>
        </is>
      </c>
      <c r="I24" s="20" t="inlineStr">
        <is>
          <t>verified</t>
        </is>
      </c>
      <c r="J24" s="23" t="inlineStr">
        <is>
          <t>Retained</t>
        </is>
      </c>
      <c r="K24" s="20" t="inlineStr">
        <is>
          <t>per-cluster package</t>
        </is>
      </c>
      <c r="L24" s="20" t="inlineStr">
        <is>
          <t>R</t>
        </is>
      </c>
      <c r="M24" s="20" t="inlineStr">
        <is>
          <t>Personal-liability provisions — retained as-is (not a consolidation target)</t>
        </is>
      </c>
    </row>
    <row r="25" ht="23.85" customHeight="1" s="14">
      <c r="A25" s="20" t="inlineStr">
        <is>
          <t>b:RGC-07</t>
        </is>
      </c>
      <c r="B25" s="20" t="inlineStr">
        <is>
          <t>Risk-governance framework / strategy</t>
        </is>
      </c>
      <c r="C25" s="20" t="inlineStr">
        <is>
          <t>Board must require management to establish, and must approve, a formal written risk-governance framework, and approve si</t>
        </is>
      </c>
      <c r="D25" s="20" t="inlineStr">
        <is>
          <t>App. D, sec. II.A</t>
        </is>
      </c>
      <c r="E25" s="20" t="inlineStr">
        <is>
          <t>enforceable_guideline</t>
        </is>
      </c>
      <c r="F25" s="20" t="inlineStr">
        <is>
          <t>IDI</t>
        </is>
      </c>
      <c r="G25" s="20" t="inlineStr">
        <is>
          <t>Full board or risk committee</t>
        </is>
      </c>
      <c r="H25" s="20" t="inlineStr">
        <is>
          <t>binding</t>
        </is>
      </c>
      <c r="I25" s="20" t="inlineStr">
        <is>
          <t>verified</t>
        </is>
      </c>
      <c r="J25" s="21" t="inlineStr">
        <is>
          <t>Consolidated</t>
        </is>
      </c>
      <c r="K25" s="20" t="inlineStr">
        <is>
          <t>per-cluster package</t>
        </is>
      </c>
      <c r="L25" s="20" t="inlineStr">
        <is>
          <t>T1</t>
        </is>
      </c>
      <c r="M25" s="20" t="inlineStr">
        <is>
          <t>Enterprise strategy, risk-governance framework &amp; risk-appetite approval</t>
        </is>
      </c>
    </row>
    <row r="26" ht="23.85" customHeight="1" s="14">
      <c r="A26" s="20" t="inlineStr">
        <is>
          <t>b:RGC-08</t>
        </is>
      </c>
      <c r="B26" s="20" t="inlineStr">
        <is>
          <t>Risk appetite statement</t>
        </is>
      </c>
      <c r="C26" s="20" t="inlineStr">
        <is>
          <t xml:space="preserve">Board or risk committee reviews and approves the risk-appetite statement at least annually and receives risk monitoring </t>
        </is>
      </c>
      <c r="D26" s="20" t="inlineStr">
        <is>
          <t>App. D, secs. II.E, II.G</t>
        </is>
      </c>
      <c r="E26" s="20" t="inlineStr">
        <is>
          <t>regulation</t>
        </is>
      </c>
      <c r="F26" s="20" t="inlineStr">
        <is>
          <t>IDI</t>
        </is>
      </c>
      <c r="G26" s="20" t="inlineStr">
        <is>
          <t>Full board or risk committee</t>
        </is>
      </c>
      <c r="H26" s="20" t="inlineStr">
        <is>
          <t>binding</t>
        </is>
      </c>
      <c r="I26" s="20" t="inlineStr">
        <is>
          <t>verified</t>
        </is>
      </c>
      <c r="J26" s="21" t="inlineStr">
        <is>
          <t>Consolidated</t>
        </is>
      </c>
      <c r="K26" s="20" t="inlineStr">
        <is>
          <t>INTRODUCE+DEEM_SATISFIED+FACTOR_EXCEPTION+RESOLVE_CROSS_REFERENCE</t>
        </is>
      </c>
      <c r="L26" s="20" t="inlineStr">
        <is>
          <t>T1</t>
        </is>
      </c>
      <c r="M26" s="20" t="inlineStr">
        <is>
          <t>Enterprise strategy, risk-governance framework &amp; risk-appetite approval</t>
        </is>
      </c>
    </row>
    <row r="27" ht="23.85" customHeight="1" s="14">
      <c r="A27" s="20" t="inlineStr">
        <is>
          <t>b:RGC-10</t>
        </is>
      </c>
      <c r="B27" s="20" t="inlineStr">
        <is>
          <t>Risk-governance framework / strategy</t>
        </is>
      </c>
      <c r="C27" s="20" t="inlineStr">
        <is>
          <t>Board reviews and approves the bank's three-year strategic plan with a comprehensive risk assessment and monitors implem</t>
        </is>
      </c>
      <c r="D27" s="20" t="inlineStr">
        <is>
          <t>App. D, sec. II.D</t>
        </is>
      </c>
      <c r="E27" s="20" t="inlineStr">
        <is>
          <t>regulation</t>
        </is>
      </c>
      <c r="F27" s="20" t="inlineStr">
        <is>
          <t>IDI</t>
        </is>
      </c>
      <c r="G27" s="20" t="inlineStr">
        <is>
          <t>Full board</t>
        </is>
      </c>
      <c r="H27" s="20" t="inlineStr">
        <is>
          <t>binding</t>
        </is>
      </c>
      <c r="I27" s="20" t="inlineStr">
        <is>
          <t>verified</t>
        </is>
      </c>
      <c r="J27" s="21" t="inlineStr">
        <is>
          <t>Consolidated</t>
        </is>
      </c>
      <c r="K27" s="20" t="inlineStr">
        <is>
          <t>per-cluster package</t>
        </is>
      </c>
      <c r="L27" s="20" t="inlineStr">
        <is>
          <t>T1</t>
        </is>
      </c>
      <c r="M27" s="20" t="inlineStr">
        <is>
          <t>Enterprise strategy, risk-governance framework &amp; risk-appetite approval</t>
        </is>
      </c>
    </row>
    <row r="28" ht="23.85" customHeight="1" s="14">
      <c r="A28" s="20" t="inlineStr">
        <is>
          <t>s:BCG-01</t>
        </is>
      </c>
      <c r="B28" s="20" t="inlineStr">
        <is>
          <t>Risk-governance framework / strategy</t>
        </is>
      </c>
      <c r="C28" s="20" t="inlineStr">
        <is>
          <t>An executive committee may act between full-board meetings, but the full board should limit its authority and reserve ex</t>
        </is>
      </c>
      <c r="D28" s="20" t="inlineStr">
        <is>
          <t>Appendix C — Executive committee</t>
        </is>
      </c>
      <c r="E28" s="20" t="inlineStr">
        <is>
          <t>guidance</t>
        </is>
      </c>
      <c r="F28" s="20" t="inlineStr">
        <is>
          <t>IDI</t>
        </is>
      </c>
      <c r="G28" s="20" t="inlineStr">
        <is>
          <t>Executive committee; full board</t>
        </is>
      </c>
      <c r="H28" s="20" t="inlineStr">
        <is>
          <t>supervisory</t>
        </is>
      </c>
      <c r="I28" s="22" t="inlineStr">
        <is>
          <t>unverified</t>
        </is>
      </c>
      <c r="J28" s="21" t="inlineStr">
        <is>
          <t>Consolidated</t>
        </is>
      </c>
      <c r="K28" s="20" t="inlineStr">
        <is>
          <t>per-cluster package</t>
        </is>
      </c>
      <c r="L28" s="20" t="inlineStr">
        <is>
          <t>T1</t>
        </is>
      </c>
      <c r="M28" s="20" t="inlineStr">
        <is>
          <t>Enterprise strategy, risk-governance framework &amp; risk-appetite approval</t>
        </is>
      </c>
    </row>
    <row r="29" ht="23.85" customHeight="1" s="14">
      <c r="A29" s="20" t="inlineStr">
        <is>
          <t>s:BCG-03</t>
        </is>
      </c>
      <c r="B29" s="20" t="inlineStr">
        <is>
          <t>Risk-governance framework / strategy</t>
        </is>
      </c>
      <c r="C29" s="20" t="inlineStr">
        <is>
          <t>A credit committee (where used) establishes lending strategy, credit risk appetite, and risk limits; reviews/approves le</t>
        </is>
      </c>
      <c r="D29" s="20" t="inlineStr">
        <is>
          <t>Appendix C — Credit committee</t>
        </is>
      </c>
      <c r="E29" s="20" t="inlineStr">
        <is>
          <t>guidance</t>
        </is>
      </c>
      <c r="F29" s="20" t="inlineStr">
        <is>
          <t>IDI</t>
        </is>
      </c>
      <c r="G29" s="20" t="inlineStr">
        <is>
          <t>Credit committee</t>
        </is>
      </c>
      <c r="H29" s="20" t="inlineStr">
        <is>
          <t>supervisory</t>
        </is>
      </c>
      <c r="I29" s="20" t="inlineStr">
        <is>
          <t>verified</t>
        </is>
      </c>
      <c r="J29" s="21" t="inlineStr">
        <is>
          <t>Consolidated</t>
        </is>
      </c>
      <c r="K29" s="20" t="inlineStr">
        <is>
          <t>per-cluster package</t>
        </is>
      </c>
      <c r="L29" s="20" t="inlineStr">
        <is>
          <t>T1</t>
        </is>
      </c>
      <c r="M29" s="20" t="inlineStr">
        <is>
          <t>Enterprise strategy, risk-governance framework &amp; risk-appetite approval</t>
        </is>
      </c>
    </row>
    <row r="30" ht="23.85" customHeight="1" s="14">
      <c r="A30" s="20" t="inlineStr">
        <is>
          <t>s:BCG-04</t>
        </is>
      </c>
      <c r="B30" s="20" t="inlineStr">
        <is>
          <t>Risk-governance framework / strategy</t>
        </is>
      </c>
      <c r="C30" s="20" t="inlineStr">
        <is>
          <t>Where a board-level ALCO exists, it establishes asset-liability strategies, rate-risk appetites, and limits; reviews liq</t>
        </is>
      </c>
      <c r="D30" s="20" t="inlineStr">
        <is>
          <t>Appendix C — Asset-liability committee</t>
        </is>
      </c>
      <c r="E30" s="20" t="inlineStr">
        <is>
          <t>guidance</t>
        </is>
      </c>
      <c r="F30" s="20" t="inlineStr">
        <is>
          <t>IDI</t>
        </is>
      </c>
      <c r="G30" s="20" t="inlineStr">
        <is>
          <t>Board-level ALCO (if used)</t>
        </is>
      </c>
      <c r="H30" s="20" t="inlineStr">
        <is>
          <t>supervisory</t>
        </is>
      </c>
      <c r="I30" s="22" t="inlineStr">
        <is>
          <t>unverified</t>
        </is>
      </c>
      <c r="J30" s="21" t="inlineStr">
        <is>
          <t>Consolidated</t>
        </is>
      </c>
      <c r="K30" s="20" t="inlineStr">
        <is>
          <t>per-cluster package</t>
        </is>
      </c>
      <c r="L30" s="20" t="inlineStr">
        <is>
          <t>T1</t>
        </is>
      </c>
      <c r="M30" s="20" t="inlineStr">
        <is>
          <t>Enterprise strategy, risk-governance framework &amp; risk-appetite approval</t>
        </is>
      </c>
    </row>
    <row r="31" ht="35.05" customHeight="1" s="14">
      <c r="A31" s="20" t="inlineStr">
        <is>
          <t>s:BCG-09</t>
        </is>
      </c>
      <c r="B31" s="20" t="inlineStr">
        <is>
          <t>Risk-governance framework / strategy</t>
        </is>
      </c>
      <c r="C31" s="20" t="inlineStr">
        <is>
          <t xml:space="preserve">Board determines its leadership structure; the chair should promote candid dialogue and independent deliberation; where </t>
        </is>
      </c>
      <c r="D31" s="20" t="inlineStr">
        <is>
          <t>Board Leadership (CRG); Director's Book Board Structure</t>
        </is>
      </c>
      <c r="E31" s="20" t="inlineStr">
        <is>
          <t>guidance</t>
        </is>
      </c>
      <c r="F31" s="20" t="inlineStr">
        <is>
          <t>IDI</t>
        </is>
      </c>
      <c r="G31" s="20" t="inlineStr">
        <is>
          <t>Full board; independent chair / lead director</t>
        </is>
      </c>
      <c r="H31" s="20" t="inlineStr">
        <is>
          <t>supervisory</t>
        </is>
      </c>
      <c r="I31" s="22" t="inlineStr">
        <is>
          <t>unverified</t>
        </is>
      </c>
      <c r="J31" s="21" t="inlineStr">
        <is>
          <t>Consolidated</t>
        </is>
      </c>
      <c r="K31" s="20" t="inlineStr">
        <is>
          <t>per-cluster package</t>
        </is>
      </c>
      <c r="L31" s="20" t="inlineStr">
        <is>
          <t>T1</t>
        </is>
      </c>
      <c r="M31" s="20" t="inlineStr">
        <is>
          <t>Enterprise strategy, risk-governance framework &amp; risk-appetite approval</t>
        </is>
      </c>
    </row>
    <row r="32" ht="35.05" customHeight="1" s="14">
      <c r="A32" s="20" t="inlineStr">
        <is>
          <t>s:BCG-10</t>
        </is>
      </c>
      <c r="B32" s="20" t="inlineStr">
        <is>
          <t>Risk-governance framework / strategy</t>
        </is>
      </c>
      <c r="C32" s="20" t="inlineStr">
        <is>
          <t>Board (or nominating committee) establishes a process to identify, assess, and select director candidates considering kn</t>
        </is>
      </c>
      <c r="D32" s="20" t="inlineStr">
        <is>
          <t>Director Nomination and Selection</t>
        </is>
      </c>
      <c r="E32" s="20" t="inlineStr">
        <is>
          <t>guidance</t>
        </is>
      </c>
      <c r="F32" s="20" t="inlineStr">
        <is>
          <t>IDI</t>
        </is>
      </c>
      <c r="G32" s="20" t="inlineStr">
        <is>
          <t>Full board or nominating committee</t>
        </is>
      </c>
      <c r="H32" s="20" t="inlineStr">
        <is>
          <t>supervisory</t>
        </is>
      </c>
      <c r="I32" s="22" t="inlineStr">
        <is>
          <t>unverified</t>
        </is>
      </c>
      <c r="J32" s="21" t="inlineStr">
        <is>
          <t>Consolidated</t>
        </is>
      </c>
      <c r="K32" s="20" t="inlineStr">
        <is>
          <t>per-cluster package</t>
        </is>
      </c>
      <c r="L32" s="20" t="inlineStr">
        <is>
          <t>T1</t>
        </is>
      </c>
      <c r="M32" s="20" t="inlineStr">
        <is>
          <t>Enterprise strategy, risk-governance framework &amp; risk-appetite approval</t>
        </is>
      </c>
    </row>
    <row r="33" ht="23.85" customHeight="1" s="14">
      <c r="A33" s="20" t="inlineStr">
        <is>
          <t>s:BCG-12</t>
        </is>
      </c>
      <c r="B33" s="20" t="inlineStr">
        <is>
          <t>Risk-governance framework / strategy</t>
        </is>
      </c>
      <c r="C33" s="20" t="inlineStr">
        <is>
          <t>Minutes should document attendance, votes and abstentions, materials reviewed, material agenda items, actions and follow</t>
        </is>
      </c>
      <c r="D33" s="20" t="inlineStr">
        <is>
          <t>Board and Committee Minutes</t>
        </is>
      </c>
      <c r="E33" s="20" t="inlineStr">
        <is>
          <t>guidance</t>
        </is>
      </c>
      <c r="F33" s="20" t="inlineStr">
        <is>
          <t>IDI</t>
        </is>
      </c>
      <c r="G33" s="20" t="inlineStr">
        <is>
          <t>Full board and committees</t>
        </is>
      </c>
      <c r="H33" s="20" t="inlineStr">
        <is>
          <t>supervisory</t>
        </is>
      </c>
      <c r="I33" s="22" t="inlineStr">
        <is>
          <t>unverified</t>
        </is>
      </c>
      <c r="J33" s="21" t="inlineStr">
        <is>
          <t>Consolidated</t>
        </is>
      </c>
      <c r="K33" s="20" t="inlineStr">
        <is>
          <t>per-cluster package</t>
        </is>
      </c>
      <c r="L33" s="20" t="inlineStr">
        <is>
          <t>T1</t>
        </is>
      </c>
      <c r="M33" s="20" t="inlineStr">
        <is>
          <t>Enterprise strategy, risk-governance framework &amp; risk-appetite approval</t>
        </is>
      </c>
    </row>
    <row r="34" ht="23.85" customHeight="1" s="14">
      <c r="A34" s="20" t="inlineStr">
        <is>
          <t>s:FDR-01</t>
        </is>
      </c>
      <c r="B34" s="20" t="inlineStr">
        <is>
          <t>Risk-governance framework / strategy</t>
        </is>
      </c>
      <c r="C34" s="20" t="inlineStr">
        <is>
          <t xml:space="preserve">The board is the source of authority and responsibility; it is responsible for sound policies and objectives, effective </t>
        </is>
      </c>
      <c r="D34" s="20" t="inlineStr">
        <is>
          <t>Management (local ll. ~11944-12024)</t>
        </is>
      </c>
      <c r="E34" s="20" t="inlineStr">
        <is>
          <t>guidance</t>
        </is>
      </c>
      <c r="F34" s="20" t="inlineStr">
        <is>
          <t>IDI</t>
        </is>
      </c>
      <c r="G34" s="20" t="inlineStr">
        <is>
          <t>Full board</t>
        </is>
      </c>
      <c r="H34" s="20" t="inlineStr">
        <is>
          <t>supervisory</t>
        </is>
      </c>
      <c r="I34" s="20" t="inlineStr">
        <is>
          <t>verified</t>
        </is>
      </c>
      <c r="J34" s="21" t="inlineStr">
        <is>
          <t>Consolidated</t>
        </is>
      </c>
      <c r="K34" s="20" t="inlineStr">
        <is>
          <t>per-cluster package</t>
        </is>
      </c>
      <c r="L34" s="20" t="inlineStr">
        <is>
          <t>T1</t>
        </is>
      </c>
      <c r="M34" s="20" t="inlineStr">
        <is>
          <t>Enterprise strategy, risk-governance framework &amp; risk-appetite approval</t>
        </is>
      </c>
    </row>
    <row r="35" ht="23.85" customHeight="1" s="14">
      <c r="A35" s="20" t="inlineStr">
        <is>
          <t>s:FDR-03</t>
        </is>
      </c>
      <c r="B35" s="20" t="inlineStr">
        <is>
          <t>Risk-governance framework / strategy</t>
        </is>
      </c>
      <c r="C35" s="20" t="inlineStr">
        <is>
          <t>A primary board duty is selecting and retaining competent executive officers and replacing officers who cannot meet reas</t>
        </is>
      </c>
      <c r="D35" s="20" t="inlineStr">
        <is>
          <t>Management (local ll. ~12073-12119)</t>
        </is>
      </c>
      <c r="E35" s="20" t="inlineStr">
        <is>
          <t>guidance</t>
        </is>
      </c>
      <c r="F35" s="20" t="inlineStr">
        <is>
          <t>IDI</t>
        </is>
      </c>
      <c r="G35" s="20" t="inlineStr">
        <is>
          <t>Full board</t>
        </is>
      </c>
      <c r="H35" s="20" t="inlineStr">
        <is>
          <t>supervisory</t>
        </is>
      </c>
      <c r="I35" s="22" t="inlineStr">
        <is>
          <t>unverified</t>
        </is>
      </c>
      <c r="J35" s="21" t="inlineStr">
        <is>
          <t>Consolidated</t>
        </is>
      </c>
      <c r="K35" s="20" t="inlineStr">
        <is>
          <t>per-cluster package</t>
        </is>
      </c>
      <c r="L35" s="20" t="inlineStr">
        <is>
          <t>T1</t>
        </is>
      </c>
      <c r="M35" s="20" t="inlineStr">
        <is>
          <t>Enterprise strategy, risk-governance framework &amp; risk-appetite approval</t>
        </is>
      </c>
    </row>
    <row r="36" ht="23.85" customHeight="1" s="14">
      <c r="A36" s="20" t="inlineStr">
        <is>
          <t>s:GOV-01</t>
        </is>
      </c>
      <c r="B36" s="20" t="inlineStr">
        <is>
          <t>Risk appetite statement</t>
        </is>
      </c>
      <c r="C36" s="20" t="inlineStr">
        <is>
          <t>Board oversees development of, reviews, approves, and periodically monitors the firm's strategy and risk appetite, ensur</t>
        </is>
      </c>
      <c r="D36" s="20" t="inlineStr">
        <is>
          <t>Attachment, Attribute 1, pp. 2-3</t>
        </is>
      </c>
      <c r="E36" s="20" t="inlineStr">
        <is>
          <t>guidance</t>
        </is>
      </c>
      <c r="F36" s="20" t="inlineStr">
        <is>
          <t>BHC</t>
        </is>
      </c>
      <c r="G36" s="20" t="inlineStr">
        <is>
          <t>Full board</t>
        </is>
      </c>
      <c r="H36" s="20" t="inlineStr">
        <is>
          <t>supervisory</t>
        </is>
      </c>
      <c r="I36" s="20" t="inlineStr">
        <is>
          <t>verified</t>
        </is>
      </c>
      <c r="J36" s="21" t="inlineStr">
        <is>
          <t>Consolidated</t>
        </is>
      </c>
      <c r="K36" s="20" t="inlineStr">
        <is>
          <t>INTRODUCE+DEEM_SATISFIED+FACTOR_EXCEPTION+RESOLVE_CROSS_REFERENCE</t>
        </is>
      </c>
      <c r="L36" s="20" t="inlineStr">
        <is>
          <t>T1</t>
        </is>
      </c>
      <c r="M36" s="20" t="inlineStr">
        <is>
          <t>Enterprise strategy, risk-governance framework &amp; risk-appetite approval</t>
        </is>
      </c>
    </row>
    <row r="37" ht="23.85" customHeight="1" s="14">
      <c r="A37" s="20" t="inlineStr">
        <is>
          <t>s:GOV-03</t>
        </is>
      </c>
      <c r="B37" s="20" t="inlineStr">
        <is>
          <t>Risk-governance framework / strategy</t>
        </is>
      </c>
      <c r="C37" s="20" t="inlineStr">
        <is>
          <t>Board evaluates the increased risk of expansion into a new business or jurisdiction and reviews corresponding risk-manag</t>
        </is>
      </c>
      <c r="D37" s="20" t="inlineStr">
        <is>
          <t>Attachment, Attribute 1, pp. 2-3</t>
        </is>
      </c>
      <c r="E37" s="20" t="inlineStr">
        <is>
          <t>guidance</t>
        </is>
      </c>
      <c r="F37" s="20" t="inlineStr">
        <is>
          <t>BHC</t>
        </is>
      </c>
      <c r="G37" s="20" t="inlineStr">
        <is>
          <t>Full board</t>
        </is>
      </c>
      <c r="H37" s="20" t="inlineStr">
        <is>
          <t>supervisory</t>
        </is>
      </c>
      <c r="I37" s="20" t="inlineStr">
        <is>
          <t>verified</t>
        </is>
      </c>
      <c r="J37" s="21" t="inlineStr">
        <is>
          <t>Consolidated</t>
        </is>
      </c>
      <c r="K37" s="20" t="inlineStr">
        <is>
          <t>per-cluster package</t>
        </is>
      </c>
      <c r="L37" s="20" t="inlineStr">
        <is>
          <t>T1</t>
        </is>
      </c>
      <c r="M37" s="20" t="inlineStr">
        <is>
          <t>Enterprise strategy, risk-governance framework &amp; risk-appetite approval</t>
        </is>
      </c>
    </row>
    <row r="38" ht="23.85" customHeight="1" s="14">
      <c r="A38" s="20" t="inlineStr">
        <is>
          <t>s:GOV-04</t>
        </is>
      </c>
      <c r="B38" s="20" t="inlineStr">
        <is>
          <t>Risk-governance framework / strategy</t>
        </is>
      </c>
      <c r="C38" s="20" t="inlineStr">
        <is>
          <t xml:space="preserve">Board directs senior management to provide timely, accurate, well-organized information sufficient in scope and detail; </t>
        </is>
      </c>
      <c r="D38" s="20" t="inlineStr">
        <is>
          <t>Attachment, Attribute 2, pp. 3-4</t>
        </is>
      </c>
      <c r="E38" s="20" t="inlineStr">
        <is>
          <t>guidance</t>
        </is>
      </c>
      <c r="F38" s="20" t="inlineStr">
        <is>
          <t>BHC</t>
        </is>
      </c>
      <c r="G38" s="20" t="inlineStr">
        <is>
          <t>Full board</t>
        </is>
      </c>
      <c r="H38" s="20" t="inlineStr">
        <is>
          <t>supervisory</t>
        </is>
      </c>
      <c r="I38" s="20" t="inlineStr">
        <is>
          <t>verified</t>
        </is>
      </c>
      <c r="J38" s="21" t="inlineStr">
        <is>
          <t>Consolidated</t>
        </is>
      </c>
      <c r="K38" s="20" t="inlineStr">
        <is>
          <t>per-cluster package</t>
        </is>
      </c>
      <c r="L38" s="20" t="inlineStr">
        <is>
          <t>T1</t>
        </is>
      </c>
      <c r="M38" s="20" t="inlineStr">
        <is>
          <t>Enterprise strategy, risk-governance framework &amp; risk-appetite approval</t>
        </is>
      </c>
    </row>
    <row r="39" ht="23.85" customHeight="1" s="14">
      <c r="A39" s="20" t="inlineStr">
        <is>
          <t>s:GOV-06</t>
        </is>
      </c>
      <c r="B39" s="20" t="inlineStr">
        <is>
          <t>Risk appetite statement</t>
        </is>
      </c>
      <c r="C39" s="20" t="inlineStr">
        <is>
          <t>Board oversees implementation of strategy within risk appetite; challenges management; engages in robust inquiry into em</t>
        </is>
      </c>
      <c r="D39" s="20" t="inlineStr">
        <is>
          <t>Attachment, Attribute 3, pp. 4-5</t>
        </is>
      </c>
      <c r="E39" s="20" t="inlineStr">
        <is>
          <t>guidance</t>
        </is>
      </c>
      <c r="F39" s="20" t="inlineStr">
        <is>
          <t>BHC</t>
        </is>
      </c>
      <c r="G39" s="20" t="inlineStr">
        <is>
          <t>Full board</t>
        </is>
      </c>
      <c r="H39" s="20" t="inlineStr">
        <is>
          <t>supervisory</t>
        </is>
      </c>
      <c r="I39" s="20" t="inlineStr">
        <is>
          <t>verified</t>
        </is>
      </c>
      <c r="J39" s="21" t="inlineStr">
        <is>
          <t>Consolidated</t>
        </is>
      </c>
      <c r="K39" s="20" t="inlineStr">
        <is>
          <t>INTRODUCE+DEEM_SATISFIED+FACTOR_EXCEPTION+RESOLVE_CROSS_REFERENCE</t>
        </is>
      </c>
      <c r="L39" s="20" t="inlineStr">
        <is>
          <t>T1</t>
        </is>
      </c>
      <c r="M39" s="20" t="inlineStr">
        <is>
          <t>Enterprise strategy, risk-governance framework &amp; risk-appetite approval</t>
        </is>
      </c>
    </row>
    <row r="40" ht="23.85" customHeight="1" s="14">
      <c r="A40" s="20" t="inlineStr">
        <is>
          <t>s:GOV-09</t>
        </is>
      </c>
      <c r="B40" s="20" t="inlineStr">
        <is>
          <t>Risk-governance framework / strategy</t>
        </is>
      </c>
      <c r="C40" s="20" t="inlineStr">
        <is>
          <t>Board oversees CEO succession and, depending on the firm, succession for the CRO, CAE, and other senior officials (excee</t>
        </is>
      </c>
      <c r="D40" s="20" t="inlineStr">
        <is>
          <t>Attachment, Attribute 3, p. 5, fn. 15</t>
        </is>
      </c>
      <c r="E40" s="20" t="inlineStr">
        <is>
          <t>guidance</t>
        </is>
      </c>
      <c r="F40" s="20" t="inlineStr">
        <is>
          <t>BHC</t>
        </is>
      </c>
      <c r="G40" s="20" t="inlineStr">
        <is>
          <t>Full board</t>
        </is>
      </c>
      <c r="H40" s="20" t="inlineStr">
        <is>
          <t>supervisory</t>
        </is>
      </c>
      <c r="I40" s="20" t="inlineStr">
        <is>
          <t>verified</t>
        </is>
      </c>
      <c r="J40" s="21" t="inlineStr">
        <is>
          <t>Consolidated</t>
        </is>
      </c>
      <c r="K40" s="20" t="inlineStr">
        <is>
          <t>per-cluster package</t>
        </is>
      </c>
      <c r="L40" s="20" t="inlineStr">
        <is>
          <t>T1</t>
        </is>
      </c>
      <c r="M40" s="20" t="inlineStr">
        <is>
          <t>Enterprise strategy, risk-governance framework &amp; risk-appetite approval</t>
        </is>
      </c>
    </row>
    <row r="41" ht="35.05" customHeight="1" s="14">
      <c r="A41" s="20" t="inlineStr">
        <is>
          <t>s:GOV-13</t>
        </is>
      </c>
      <c r="B41" s="20" t="inlineStr">
        <is>
          <t>Risk-governance framework / strategy</t>
        </is>
      </c>
      <c r="C41" s="20" t="inlineStr">
        <is>
          <t>Board establishes a director-nomination process with a mix of skills and experience and considers a diverse pool of pote</t>
        </is>
      </c>
      <c r="D41" s="20" t="inlineStr">
        <is>
          <t>Attachment, Attribute 5, p. 7, fn. 19</t>
        </is>
      </c>
      <c r="E41" s="20" t="inlineStr">
        <is>
          <t>guidance</t>
        </is>
      </c>
      <c r="F41" s="20" t="inlineStr">
        <is>
          <t>BHC</t>
        </is>
      </c>
      <c r="G41" s="20" t="inlineStr">
        <is>
          <t>Nominating/Governance committee</t>
        </is>
      </c>
      <c r="H41" s="20" t="inlineStr">
        <is>
          <t>supervisory</t>
        </is>
      </c>
      <c r="I41" s="20" t="inlineStr">
        <is>
          <t>verified</t>
        </is>
      </c>
      <c r="J41" s="21" t="inlineStr">
        <is>
          <t>Consolidated</t>
        </is>
      </c>
      <c r="K41" s="20" t="inlineStr">
        <is>
          <t>per-cluster package</t>
        </is>
      </c>
      <c r="L41" s="20" t="inlineStr">
        <is>
          <t>T1</t>
        </is>
      </c>
      <c r="M41" s="20" t="inlineStr">
        <is>
          <t>Enterprise strategy, risk-governance framework &amp; risk-appetite approval</t>
        </is>
      </c>
    </row>
    <row r="42" ht="23.85" customHeight="1" s="14">
      <c r="A42" s="20" t="inlineStr">
        <is>
          <t>s:GOV-15</t>
        </is>
      </c>
      <c r="B42" s="20" t="inlineStr">
        <is>
          <t>Risk-governance framework / strategy</t>
        </is>
      </c>
      <c r="C42" s="20" t="inlineStr">
        <is>
          <t>Board (with senior management) establishes and maintains the firm's culture, incentives, structure, and processes that p</t>
        </is>
      </c>
      <c r="D42" s="20" t="inlineStr">
        <is>
          <t>Section A.2 (Corporate Governance), pp. 5-6</t>
        </is>
      </c>
      <c r="E42" s="20" t="inlineStr">
        <is>
          <t>guidance</t>
        </is>
      </c>
      <c r="F42" s="20" t="inlineStr">
        <is>
          <t>BHC</t>
        </is>
      </c>
      <c r="G42" s="20" t="inlineStr">
        <is>
          <t>Full board</t>
        </is>
      </c>
      <c r="H42" s="20" t="inlineStr">
        <is>
          <t>supervisory</t>
        </is>
      </c>
      <c r="I42" s="20" t="inlineStr">
        <is>
          <t>verified</t>
        </is>
      </c>
      <c r="J42" s="21" t="inlineStr">
        <is>
          <t>Consolidated</t>
        </is>
      </c>
      <c r="K42" s="20" t="inlineStr">
        <is>
          <t>per-cluster package</t>
        </is>
      </c>
      <c r="L42" s="20" t="inlineStr">
        <is>
          <t>T1</t>
        </is>
      </c>
      <c r="M42" s="20" t="inlineStr">
        <is>
          <t>Enterprise strategy, risk-governance framework &amp; risk-appetite approval</t>
        </is>
      </c>
    </row>
    <row r="43" ht="23.85" customHeight="1" s="14">
      <c r="A43" s="20" t="inlineStr">
        <is>
          <t>s:GOV-18</t>
        </is>
      </c>
      <c r="B43" s="20" t="inlineStr">
        <is>
          <t>Risk-governance framework / strategy</t>
        </is>
      </c>
      <c r="C43" s="20" t="inlineStr">
        <is>
          <t>Board effectiveness is a rated supervisory element: the Governance &amp; Controls component evaluates the extent to which th</t>
        </is>
      </c>
      <c r="D43" s="20" t="inlineStr">
        <is>
          <t>Attachment, Governance &amp; Controls component, sec. C.3, p. 12</t>
        </is>
      </c>
      <c r="E43" s="20" t="inlineStr">
        <is>
          <t>guidance</t>
        </is>
      </c>
      <c r="F43" s="20" t="inlineStr">
        <is>
          <t>BHC</t>
        </is>
      </c>
      <c r="G43" s="20" t="inlineStr">
        <is>
          <t>Full board</t>
        </is>
      </c>
      <c r="H43" s="20" t="inlineStr">
        <is>
          <t>supervisory</t>
        </is>
      </c>
      <c r="I43" s="22" t="inlineStr">
        <is>
          <t>unverified</t>
        </is>
      </c>
      <c r="J43" s="21" t="inlineStr">
        <is>
          <t>Consolidated</t>
        </is>
      </c>
      <c r="K43" s="20" t="inlineStr">
        <is>
          <t>per-cluster package</t>
        </is>
      </c>
      <c r="L43" s="20" t="inlineStr">
        <is>
          <t>T1</t>
        </is>
      </c>
      <c r="M43" s="20" t="inlineStr">
        <is>
          <t>Enterprise strategy, risk-governance framework &amp; risk-appetite approval</t>
        </is>
      </c>
    </row>
    <row r="44" ht="35.05" customHeight="1" s="14">
      <c r="A44" s="20" t="inlineStr">
        <is>
          <t>s:GOV-19</t>
        </is>
      </c>
      <c r="B44" s="20" t="inlineStr">
        <is>
          <t>Risk-governance framework / strategy</t>
        </is>
      </c>
      <c r="C44" s="20" t="inlineStr">
        <is>
          <t xml:space="preserve">CONSEQUENCE CHANGE: 'ascetic principle' repealed — a single Deficient-1 rating in any component (including Governance &amp; </t>
        </is>
      </c>
      <c r="D44" s="20" t="inlineStr">
        <is>
          <t>Adopting release (bcreg20251105a1), pp. 6, 10-12, 24</t>
        </is>
      </c>
      <c r="E44" s="20" t="inlineStr">
        <is>
          <t>guidance</t>
        </is>
      </c>
      <c r="F44" s="20" t="inlineStr">
        <is>
          <t>BHC</t>
        </is>
      </c>
      <c r="G44" s="20" t="inlineStr">
        <is>
          <t>Full board (consequence framework)</t>
        </is>
      </c>
      <c r="H44" s="20" t="inlineStr">
        <is>
          <t>supervisory</t>
        </is>
      </c>
      <c r="I44" s="22" t="inlineStr">
        <is>
          <t>unverified</t>
        </is>
      </c>
      <c r="J44" s="21" t="inlineStr">
        <is>
          <t>Consolidated</t>
        </is>
      </c>
      <c r="K44" s="20" t="inlineStr">
        <is>
          <t>per-cluster package</t>
        </is>
      </c>
      <c r="L44" s="20" t="inlineStr">
        <is>
          <t>T1</t>
        </is>
      </c>
      <c r="M44" s="20" t="inlineStr">
        <is>
          <t>Enterprise strategy, risk-governance framework &amp; risk-appetite approval</t>
        </is>
      </c>
    </row>
    <row r="45" ht="23.85" customHeight="1" s="14">
      <c r="A45" s="20" t="inlineStr">
        <is>
          <t>s:GOV-20</t>
        </is>
      </c>
      <c r="B45" s="20" t="inlineStr">
        <is>
          <t>Risk-governance framework / strategy</t>
        </is>
      </c>
      <c r="C45" s="20" t="inlineStr">
        <is>
          <t>Board (with senior management) is responsible for active oversight of risk-management processes and internal controls.</t>
        </is>
      </c>
      <c r="D45" s="20" t="inlineStr">
        <is>
          <t>Risk-management rating definitions</t>
        </is>
      </c>
      <c r="E45" s="20" t="inlineStr">
        <is>
          <t>guidance</t>
        </is>
      </c>
      <c r="F45" s="20" t="inlineStr">
        <is>
          <t>BHC</t>
        </is>
      </c>
      <c r="G45" s="20" t="inlineStr">
        <is>
          <t>Full board</t>
        </is>
      </c>
      <c r="H45" s="20" t="inlineStr">
        <is>
          <t>supervisory</t>
        </is>
      </c>
      <c r="I45" s="22" t="inlineStr">
        <is>
          <t>unverified</t>
        </is>
      </c>
      <c r="J45" s="21" t="inlineStr">
        <is>
          <t>Consolidated</t>
        </is>
      </c>
      <c r="K45" s="20" t="inlineStr">
        <is>
          <t>per-cluster package</t>
        </is>
      </c>
      <c r="L45" s="20" t="inlineStr">
        <is>
          <t>T1</t>
        </is>
      </c>
      <c r="M45" s="20" t="inlineStr">
        <is>
          <t>Enterprise strategy, risk-governance framework &amp; risk-appetite approval</t>
        </is>
      </c>
    </row>
    <row r="46" ht="23.85" customHeight="1" s="14">
      <c r="A46" s="20" t="inlineStr">
        <is>
          <t>s:GOV-21</t>
        </is>
      </c>
      <c r="B46" s="20" t="inlineStr">
        <is>
          <t>Risk appetite statement</t>
        </is>
      </c>
      <c r="C46" s="20" t="inlineStr">
        <is>
          <t>Board requires management to establish and implement a risk-governance framework meeting the minimum standards; board or</t>
        </is>
      </c>
      <c r="D46" s="20" t="inlineStr">
        <is>
          <t>App. D, sec. III.A; sec. II.A, II.G.1</t>
        </is>
      </c>
      <c r="E46" s="20" t="inlineStr">
        <is>
          <t>regulation</t>
        </is>
      </c>
      <c r="F46" s="20" t="inlineStr">
        <is>
          <t>IDI</t>
        </is>
      </c>
      <c r="G46" s="20" t="inlineStr">
        <is>
          <t>Full board; Risk committee</t>
        </is>
      </c>
      <c r="H46" s="20" t="inlineStr">
        <is>
          <t>supervisory</t>
        </is>
      </c>
      <c r="I46" s="20" t="inlineStr">
        <is>
          <t>verified</t>
        </is>
      </c>
      <c r="J46" s="21" t="inlineStr">
        <is>
          <t>Consolidated</t>
        </is>
      </c>
      <c r="K46" s="20" t="inlineStr">
        <is>
          <t>INTRODUCE+DEEM_SATISFIED+FACTOR_EXCEPTION+RESOLVE_CROSS_REFERENCE</t>
        </is>
      </c>
      <c r="L46" s="20" t="inlineStr">
        <is>
          <t>T1</t>
        </is>
      </c>
      <c r="M46" s="20" t="inlineStr">
        <is>
          <t>Enterprise strategy, risk-governance framework &amp; risk-appetite approval</t>
        </is>
      </c>
    </row>
    <row r="47" ht="23.85" customHeight="1" s="14">
      <c r="A47" s="20" t="inlineStr">
        <is>
          <t>s:GOV-27</t>
        </is>
      </c>
      <c r="B47" s="20" t="inlineStr">
        <is>
          <t>Risk-governance framework / strategy</t>
        </is>
      </c>
      <c r="C47" s="20" t="inlineStr">
        <is>
          <t>Board evaluates and approves the bank's 3-year strategic plan and monitors implementation at least annually; receives IR</t>
        </is>
      </c>
      <c r="D47" s="20" t="inlineStr">
        <is>
          <t>App. D, secs. II.D, II.G.3, II.H.3</t>
        </is>
      </c>
      <c r="E47" s="20" t="inlineStr">
        <is>
          <t>regulation</t>
        </is>
      </c>
      <c r="F47" s="20" t="inlineStr">
        <is>
          <t>IDI</t>
        </is>
      </c>
      <c r="G47" s="20" t="inlineStr">
        <is>
          <t>Full board; Risk committee</t>
        </is>
      </c>
      <c r="H47" s="20" t="inlineStr">
        <is>
          <t>supervisory</t>
        </is>
      </c>
      <c r="I47" s="20" t="inlineStr">
        <is>
          <t>verified</t>
        </is>
      </c>
      <c r="J47" s="21" t="inlineStr">
        <is>
          <t>Consolidated</t>
        </is>
      </c>
      <c r="K47" s="20" t="inlineStr">
        <is>
          <t>per-cluster package</t>
        </is>
      </c>
      <c r="L47" s="20" t="inlineStr">
        <is>
          <t>T1</t>
        </is>
      </c>
      <c r="M47" s="20" t="inlineStr">
        <is>
          <t>Enterprise strategy, risk-governance framework &amp; risk-appetite approval</t>
        </is>
      </c>
    </row>
    <row r="48" ht="35.05" customHeight="1" s="14">
      <c r="A48" s="20" t="inlineStr">
        <is>
          <t>s:GOV-29</t>
        </is>
      </c>
      <c r="B48" s="20" t="inlineStr">
        <is>
          <t>Risk appetite statement</t>
        </is>
      </c>
      <c r="C48" s="20" t="inlineStr">
        <is>
          <t>Board oversees management and provides organizational leadership; establishes core corporate values; creates a corporate</t>
        </is>
      </c>
      <c r="D48" s="20" t="inlineStr">
        <is>
          <t>Director's Book (OCC Bulletin 2020-97); Corporate and Risk Governance booklet</t>
        </is>
      </c>
      <c r="E48" s="20" t="inlineStr">
        <is>
          <t>guidance</t>
        </is>
      </c>
      <c r="F48" s="20" t="inlineStr">
        <is>
          <t>IDI</t>
        </is>
      </c>
      <c r="G48" s="20" t="inlineStr">
        <is>
          <t>Full board</t>
        </is>
      </c>
      <c r="H48" s="20" t="inlineStr">
        <is>
          <t>supervisory</t>
        </is>
      </c>
      <c r="I48" s="20" t="inlineStr">
        <is>
          <t>verified</t>
        </is>
      </c>
      <c r="J48" s="21" t="inlineStr">
        <is>
          <t>Consolidated</t>
        </is>
      </c>
      <c r="K48" s="20" t="inlineStr">
        <is>
          <t>INTRODUCE+DEEM_SATISFIED+FACTOR_EXCEPTION+RESOLVE_CROSS_REFERENCE</t>
        </is>
      </c>
      <c r="L48" s="20" t="inlineStr">
        <is>
          <t>T1</t>
        </is>
      </c>
      <c r="M48" s="20" t="inlineStr">
        <is>
          <t>Enterprise strategy, risk-governance framework &amp; risk-appetite approval</t>
        </is>
      </c>
    </row>
    <row r="49" ht="23.85" customHeight="1" s="14">
      <c r="A49" s="20" t="inlineStr">
        <is>
          <t>s:GOV-32</t>
        </is>
      </c>
      <c r="B49" s="20" t="inlineStr">
        <is>
          <t>Risk-governance framework / strategy</t>
        </is>
      </c>
      <c r="C49" s="20" t="inlineStr">
        <is>
          <t>Board receives appropriate communication and periodic reporting sufficient to assess credit underwriting/review, interes</t>
        </is>
      </c>
      <c r="D49" s="20" t="inlineStr">
        <is>
          <t>App. A, secs. II.D.4, II.E.2, II.G.6, II.H.5</t>
        </is>
      </c>
      <c r="E49" s="20" t="inlineStr">
        <is>
          <t>regulation</t>
        </is>
      </c>
      <c r="F49" s="20" t="inlineStr">
        <is>
          <t>both</t>
        </is>
      </c>
      <c r="G49" s="20" t="inlineStr">
        <is>
          <t>Full board</t>
        </is>
      </c>
      <c r="H49" s="20" t="inlineStr">
        <is>
          <t>supervisory</t>
        </is>
      </c>
      <c r="I49" s="20" t="inlineStr">
        <is>
          <t>verified</t>
        </is>
      </c>
      <c r="J49" s="21" t="inlineStr">
        <is>
          <t>Consolidated</t>
        </is>
      </c>
      <c r="K49" s="20" t="inlineStr">
        <is>
          <t>per-cluster package</t>
        </is>
      </c>
      <c r="L49" s="20" t="inlineStr">
        <is>
          <t>T1</t>
        </is>
      </c>
      <c r="M49" s="20" t="inlineStr">
        <is>
          <t>Enterprise strategy, risk-governance framework &amp; risk-appetite approval</t>
        </is>
      </c>
    </row>
    <row r="50" ht="35.05" customHeight="1" s="14">
      <c r="A50" s="20" t="inlineStr">
        <is>
          <t>s:GOV-33</t>
        </is>
      </c>
      <c r="B50" s="20" t="inlineStr">
        <is>
          <t>Risk-governance framework / strategy</t>
        </is>
      </c>
      <c r="C50" s="20" t="inlineStr">
        <is>
          <t>Institution maintains safeguards against excessive compensation to any executive officer, employee, director, or princip</t>
        </is>
      </c>
      <c r="D50" s="20" t="inlineStr">
        <is>
          <t>App. A, secs. II.I, III.A-B</t>
        </is>
      </c>
      <c r="E50" s="20" t="inlineStr">
        <is>
          <t>regulation</t>
        </is>
      </c>
      <c r="F50" s="20" t="inlineStr">
        <is>
          <t>both</t>
        </is>
      </c>
      <c r="G50" s="20" t="inlineStr">
        <is>
          <t>Full board; Compensation committee</t>
        </is>
      </c>
      <c r="H50" s="20" t="inlineStr">
        <is>
          <t>supervisory</t>
        </is>
      </c>
      <c r="I50" s="20" t="inlineStr">
        <is>
          <t>verified</t>
        </is>
      </c>
      <c r="J50" s="21" t="inlineStr">
        <is>
          <t>Consolidated</t>
        </is>
      </c>
      <c r="K50" s="20" t="inlineStr">
        <is>
          <t>per-cluster package</t>
        </is>
      </c>
      <c r="L50" s="20" t="inlineStr">
        <is>
          <t>T1</t>
        </is>
      </c>
      <c r="M50" s="20" t="inlineStr">
        <is>
          <t>Enterprise strategy, risk-governance framework &amp; risk-appetite approval</t>
        </is>
      </c>
    </row>
    <row r="51" ht="23.85" customHeight="1" s="14">
      <c r="A51" s="20" t="inlineStr">
        <is>
          <t>s:OPR-01</t>
        </is>
      </c>
      <c r="B51" s="20" t="inlineStr">
        <is>
          <t>Operational resilience / business continuity</t>
        </is>
      </c>
      <c r="C51" s="20" t="inlineStr">
        <is>
          <t>Board of directors approves and periodically reviews the firm's risk appetite for weathering disruption from operational</t>
        </is>
      </c>
      <c r="D51" s="20" t="inlineStr">
        <is>
          <t>Governance, sec. 1(a)</t>
        </is>
      </c>
      <c r="E51" s="20" t="inlineStr">
        <is>
          <t>guidance</t>
        </is>
      </c>
      <c r="F51" s="20" t="inlineStr">
        <is>
          <t>both</t>
        </is>
      </c>
      <c r="G51" s="20" t="inlineStr">
        <is>
          <t>Full board</t>
        </is>
      </c>
      <c r="H51" s="20" t="inlineStr">
        <is>
          <t>supervisory</t>
        </is>
      </c>
      <c r="I51" s="20" t="inlineStr">
        <is>
          <t>verified</t>
        </is>
      </c>
      <c r="J51" s="24" t="inlineStr">
        <is>
          <t>Folded</t>
        </is>
      </c>
      <c r="K51" s="20" t="inlineStr">
        <is>
          <t>ELEVATE_GENERAL_RULE</t>
        </is>
      </c>
      <c r="L51" s="20" t="inlineStr">
        <is>
          <t>T1</t>
        </is>
      </c>
      <c r="M51" s="20" t="inlineStr">
        <is>
          <t>Enterprise strategy, risk-governance framework &amp; risk-appetite approval (resilience module)</t>
        </is>
      </c>
    </row>
    <row r="52" ht="23.85" customHeight="1" s="14">
      <c r="A52" s="20" t="inlineStr">
        <is>
          <t>s:OPR-02</t>
        </is>
      </c>
      <c r="B52" s="20" t="inlineStr">
        <is>
          <t>Operational resilience / business continuity</t>
        </is>
      </c>
      <c r="C52" s="20" t="inlineStr">
        <is>
          <t>Board works with senior management to confirm operational-resilience practices are led and staffed by individuals with r</t>
        </is>
      </c>
      <c r="D52" s="20" t="inlineStr">
        <is>
          <t>Governance, sec. 1(b)</t>
        </is>
      </c>
      <c r="E52" s="20" t="inlineStr">
        <is>
          <t>guidance</t>
        </is>
      </c>
      <c r="F52" s="20" t="inlineStr">
        <is>
          <t>both</t>
        </is>
      </c>
      <c r="G52" s="20" t="inlineStr">
        <is>
          <t>Full board</t>
        </is>
      </c>
      <c r="H52" s="20" t="inlineStr">
        <is>
          <t>supervisory</t>
        </is>
      </c>
      <c r="I52" s="20" t="inlineStr">
        <is>
          <t>verified</t>
        </is>
      </c>
      <c r="J52" s="24" t="inlineStr">
        <is>
          <t>Folded</t>
        </is>
      </c>
      <c r="K52" s="20" t="inlineStr">
        <is>
          <t>ELEVATE_GENERAL_RULE</t>
        </is>
      </c>
      <c r="L52" s="20" t="inlineStr">
        <is>
          <t>T1</t>
        </is>
      </c>
      <c r="M52" s="20" t="inlineStr">
        <is>
          <t>Enterprise strategy, risk-governance framework &amp; risk-appetite approval (resilience module)</t>
        </is>
      </c>
    </row>
    <row r="53" ht="23.85" customHeight="1" s="14">
      <c r="A53" s="20" t="inlineStr">
        <is>
          <t>s:OPR-03</t>
        </is>
      </c>
      <c r="B53" s="20" t="inlineStr">
        <is>
          <t>Operational resilience / business continuity</t>
        </is>
      </c>
      <c r="C53" s="20" t="inlineStr">
        <is>
          <t>Board oversees the firm's management of operational risk across its business-line operations, its independent operationa</t>
        </is>
      </c>
      <c r="D53" s="20" t="inlineStr">
        <is>
          <t>Governance, sec. 1(c)</t>
        </is>
      </c>
      <c r="E53" s="20" t="inlineStr">
        <is>
          <t>guidance</t>
        </is>
      </c>
      <c r="F53" s="20" t="inlineStr">
        <is>
          <t>both</t>
        </is>
      </c>
      <c r="G53" s="20" t="inlineStr">
        <is>
          <t>Full board</t>
        </is>
      </c>
      <c r="H53" s="20" t="inlineStr">
        <is>
          <t>supervisory</t>
        </is>
      </c>
      <c r="I53" s="20" t="inlineStr">
        <is>
          <t>verified</t>
        </is>
      </c>
      <c r="J53" s="24" t="inlineStr">
        <is>
          <t>Folded</t>
        </is>
      </c>
      <c r="K53" s="20" t="inlineStr">
        <is>
          <t>ELEVATE_GENERAL_RULE</t>
        </is>
      </c>
      <c r="L53" s="20" t="inlineStr">
        <is>
          <t>T1</t>
        </is>
      </c>
      <c r="M53" s="20" t="inlineStr">
        <is>
          <t>Enterprise strategy, risk-governance framework &amp; risk-appetite approval (resilience module)</t>
        </is>
      </c>
    </row>
    <row r="54" ht="23.85" customHeight="1" s="14">
      <c r="A54" s="20" t="inlineStr">
        <is>
          <t>s:OPR-04</t>
        </is>
      </c>
      <c r="B54" s="20" t="inlineStr">
        <is>
          <t>Operational resilience / business continuity</t>
        </is>
      </c>
      <c r="C54" s="20" t="inlineStr">
        <is>
          <t>Firm conducts continuous surveillance and reporting to senior management and the board sufficient for timely decisions t</t>
        </is>
      </c>
      <c r="D54" s="20" t="inlineStr">
        <is>
          <t>Sec. 7 and 7(c); Appendix A (cyber)</t>
        </is>
      </c>
      <c r="E54" s="20" t="inlineStr">
        <is>
          <t>guidance</t>
        </is>
      </c>
      <c r="F54" s="20" t="inlineStr">
        <is>
          <t>both</t>
        </is>
      </c>
      <c r="G54" s="20" t="inlineStr">
        <is>
          <t>Full board</t>
        </is>
      </c>
      <c r="H54" s="20" t="inlineStr">
        <is>
          <t>supervisory</t>
        </is>
      </c>
      <c r="I54" s="22" t="inlineStr">
        <is>
          <t>unverified</t>
        </is>
      </c>
      <c r="J54" s="24" t="inlineStr">
        <is>
          <t>Folded</t>
        </is>
      </c>
      <c r="K54" s="20" t="inlineStr">
        <is>
          <t>ELEVATE_GENERAL_RULE</t>
        </is>
      </c>
      <c r="L54" s="20" t="inlineStr">
        <is>
          <t>T1</t>
        </is>
      </c>
      <c r="M54" s="20" t="inlineStr">
        <is>
          <t>Enterprise strategy, risk-governance framework &amp; risk-appetite approval (resilience module)</t>
        </is>
      </c>
    </row>
    <row r="55" ht="35.05" customHeight="1" s="14">
      <c r="A55" s="20" t="inlineStr">
        <is>
          <t>s:OPR-05</t>
        </is>
      </c>
      <c r="B55" s="20" t="inlineStr">
        <is>
          <t>Operational resilience / business continuity</t>
        </is>
      </c>
      <c r="C55" s="20" t="inlineStr">
        <is>
          <t>Board and senior management govern business continuity by defining responsibilities and accountability and allocating ad</t>
        </is>
      </c>
      <c r="D55" s="20" t="inlineStr">
        <is>
          <t>Sec. II.A, Board and Senior Management Responsibilities</t>
        </is>
      </c>
      <c r="E55" s="20" t="inlineStr">
        <is>
          <t>manual</t>
        </is>
      </c>
      <c r="F55" s="20" t="inlineStr">
        <is>
          <t>both</t>
        </is>
      </c>
      <c r="G55" s="20" t="inlineStr">
        <is>
          <t>Full board (may use a business continuity committee)</t>
        </is>
      </c>
      <c r="H55" s="20" t="inlineStr">
        <is>
          <t>supervisory</t>
        </is>
      </c>
      <c r="I55" s="22" t="inlineStr">
        <is>
          <t>unverified</t>
        </is>
      </c>
      <c r="J55" s="24" t="inlineStr">
        <is>
          <t>Folded</t>
        </is>
      </c>
      <c r="K55" s="20" t="inlineStr">
        <is>
          <t>ELEVATE_GENERAL_RULE</t>
        </is>
      </c>
      <c r="L55" s="20" t="inlineStr">
        <is>
          <t>T1</t>
        </is>
      </c>
      <c r="M55" s="20" t="inlineStr">
        <is>
          <t>Enterprise strategy, risk-governance framework &amp; risk-appetite approval (resilience module)</t>
        </is>
      </c>
    </row>
    <row r="56" ht="23.85" customHeight="1" s="14">
      <c r="A56" s="20" t="inlineStr">
        <is>
          <t>b:LIQ-04</t>
        </is>
      </c>
      <c r="B56" s="20" t="inlineStr">
        <is>
          <t>Resolution, recovery &amp; contingency funding</t>
        </is>
      </c>
      <c r="C56" s="20" t="inlineStr">
        <is>
          <t>Risk committee (or a designated subcommittee of board members) must approve the contingency funding plan at least annual</t>
        </is>
      </c>
      <c r="D56" s="20" t="inlineStr">
        <is>
          <t>12 CFR 252.34(b)</t>
        </is>
      </c>
      <c r="E56" s="20" t="inlineStr">
        <is>
          <t>regulation</t>
        </is>
      </c>
      <c r="F56" s="20" t="inlineStr">
        <is>
          <t>BHC</t>
        </is>
      </c>
      <c r="G56" s="20" t="inlineStr">
        <is>
          <t>Risk committee</t>
        </is>
      </c>
      <c r="H56" s="20" t="inlineStr">
        <is>
          <t>binding</t>
        </is>
      </c>
      <c r="I56" s="20" t="inlineStr">
        <is>
          <t>verified</t>
        </is>
      </c>
      <c r="J56" s="21" t="inlineStr">
        <is>
          <t>Consolidated</t>
        </is>
      </c>
      <c r="K56" s="20" t="inlineStr">
        <is>
          <t>INTRODUCE+ASSIGN_DUTY_PARAMETER+MERGE+FACTOR_EXCEPTION+RELATE_OBLIGATION</t>
        </is>
      </c>
      <c r="L56" s="20" t="inlineStr">
        <is>
          <t>T10</t>
        </is>
      </c>
      <c r="M56" s="20" t="inlineStr">
        <is>
          <t>One annual resilience-planning cycle; shared submission with IDI annex</t>
        </is>
      </c>
    </row>
    <row r="57" ht="23.85" customHeight="1" s="14">
      <c r="A57" s="20" t="inlineStr">
        <is>
          <t>b:RES-01</t>
        </is>
      </c>
      <c r="B57" s="20" t="inlineStr">
        <is>
          <t>Resolution, recovery &amp; contingency funding</t>
        </is>
      </c>
      <c r="C57" s="20" t="inlineStr">
        <is>
          <t>The Title I resolution plan (living will) must be approved by the board of directors and noted in the minutes before sub</t>
        </is>
      </c>
      <c r="D57" s="20" t="inlineStr">
        <is>
          <t>12 U.S.C. 5365(d); 12 CFR 243.4(f)</t>
        </is>
      </c>
      <c r="E57" s="20" t="inlineStr">
        <is>
          <t>regulation</t>
        </is>
      </c>
      <c r="F57" s="20" t="inlineStr">
        <is>
          <t>BHC</t>
        </is>
      </c>
      <c r="G57" s="20" t="inlineStr">
        <is>
          <t>Full board</t>
        </is>
      </c>
      <c r="H57" s="20" t="inlineStr">
        <is>
          <t>binding</t>
        </is>
      </c>
      <c r="I57" s="20" t="inlineStr">
        <is>
          <t>verified</t>
        </is>
      </c>
      <c r="J57" s="21" t="inlineStr">
        <is>
          <t>Consolidated</t>
        </is>
      </c>
      <c r="K57" s="20" t="inlineStr">
        <is>
          <t>INTRODUCE+ASSIGN_DUTY_PARAMETER+MERGE+FACTOR_EXCEPTION+RELATE_OBLIGATION</t>
        </is>
      </c>
      <c r="L57" s="20" t="inlineStr">
        <is>
          <t>T10</t>
        </is>
      </c>
      <c r="M57" s="20" t="inlineStr">
        <is>
          <t>One annual resilience-planning cycle; shared submission with IDI annex</t>
        </is>
      </c>
    </row>
    <row r="58" ht="35.05" customHeight="1" s="14">
      <c r="A58" s="20" t="inlineStr">
        <is>
          <t>b:RES-02</t>
        </is>
      </c>
      <c r="B58" s="20" t="inlineStr">
        <is>
          <t>Resolution, recovery &amp; contingency funding</t>
        </is>
      </c>
      <c r="C58" s="20" t="inlineStr">
        <is>
          <t>The covered IDI's resolution submission must include board/committee escalation procedures and (per the rule's governanc</t>
        </is>
      </c>
      <c r="D58" s="20" t="inlineStr">
        <is>
          <t>12 CFR 360.10(c)(5)</t>
        </is>
      </c>
      <c r="E58" s="20" t="inlineStr">
        <is>
          <t>regulation</t>
        </is>
      </c>
      <c r="F58" s="20" t="inlineStr">
        <is>
          <t>IDI</t>
        </is>
      </c>
      <c r="G58" s="20" t="inlineStr">
        <is>
          <t>Full board or appropriate committee</t>
        </is>
      </c>
      <c r="H58" s="20" t="inlineStr">
        <is>
          <t>binding</t>
        </is>
      </c>
      <c r="I58" s="20" t="inlineStr">
        <is>
          <t>verified</t>
        </is>
      </c>
      <c r="J58" s="21" t="inlineStr">
        <is>
          <t>Consolidated</t>
        </is>
      </c>
      <c r="K58" s="20" t="inlineStr">
        <is>
          <t>INTRODUCE+ASSIGN_DUTY_PARAMETER+MERGE+FACTOR_EXCEPTION+RELATE_OBLIGATION</t>
        </is>
      </c>
      <c r="L58" s="20" t="inlineStr">
        <is>
          <t>T10</t>
        </is>
      </c>
      <c r="M58" s="20" t="inlineStr">
        <is>
          <t>One annual resilience-planning cycle; shared submission with IDI annex</t>
        </is>
      </c>
    </row>
    <row r="59" ht="23.85" customHeight="1" s="14">
      <c r="A59" s="20" t="inlineStr">
        <is>
          <t>b:RES-03</t>
        </is>
      </c>
      <c r="B59" s="20" t="inlineStr">
        <is>
          <t>Resolution, recovery &amp; contingency funding</t>
        </is>
      </c>
      <c r="C59" s="20" t="inlineStr">
        <is>
          <t>RESCINDED: the board's duty to review and approve the IDI recovery plan at least annually no longer exists. The only rem</t>
        </is>
      </c>
      <c r="D59" s="20" t="inlineStr">
        <is>
          <t>App. E (rescinded)</t>
        </is>
      </c>
      <c r="E59" s="20" t="inlineStr">
        <is>
          <t>guidance</t>
        </is>
      </c>
      <c r="F59" s="20" t="inlineStr">
        <is>
          <t>IDI</t>
        </is>
      </c>
      <c r="G59" s="20" t="inlineStr">
        <is>
          <t>n/a (rescinded)</t>
        </is>
      </c>
      <c r="H59" s="20" t="inlineStr">
        <is>
          <t>binding</t>
        </is>
      </c>
      <c r="I59" s="22" t="inlineStr">
        <is>
          <t>unverified</t>
        </is>
      </c>
      <c r="J59" s="21" t="inlineStr">
        <is>
          <t>Consolidated</t>
        </is>
      </c>
      <c r="K59" s="20" t="inlineStr">
        <is>
          <t>INTRODUCE+ASSIGN_DUTY_PARAMETER+MERGE+FACTOR_EXCEPTION+RELATE_OBLIGATION</t>
        </is>
      </c>
      <c r="L59" s="20" t="inlineStr">
        <is>
          <t>T10</t>
        </is>
      </c>
      <c r="M59" s="20" t="inlineStr">
        <is>
          <t>One annual resilience-planning cycle; shared submission with IDI annex</t>
        </is>
      </c>
    </row>
    <row r="60" ht="35.05" customHeight="1" s="14">
      <c r="A60" s="20" t="inlineStr">
        <is>
          <t>s:REC-01</t>
        </is>
      </c>
      <c r="B60" s="20" t="inlineStr">
        <is>
          <t>Resolution, recovery &amp; contingency funding</t>
        </is>
      </c>
      <c r="C60" s="20" t="inlineStr">
        <is>
          <t xml:space="preserve">The eight U.S. GSIB BHCs must maintain enumerated recovery/resolution-preparedness capabilities (collateral management; </t>
        </is>
      </c>
      <c r="D60" s="20" t="inlineStr">
        <is>
          <t>Attachment, Principles and Practices for Recovery and Resolution Preparedness</t>
        </is>
      </c>
      <c r="E60" s="20" t="inlineStr">
        <is>
          <t>guidance</t>
        </is>
      </c>
      <c r="F60" s="20" t="inlineStr">
        <is>
          <t>BHC</t>
        </is>
      </c>
      <c r="G60" s="20" t="inlineStr">
        <is>
          <t>Full board (oversight of capabilities)</t>
        </is>
      </c>
      <c r="H60" s="20" t="inlineStr">
        <is>
          <t>supervisory</t>
        </is>
      </c>
      <c r="I60" s="22" t="inlineStr">
        <is>
          <t>unverified</t>
        </is>
      </c>
      <c r="J60" s="21" t="inlineStr">
        <is>
          <t>Consolidated</t>
        </is>
      </c>
      <c r="K60" s="20" t="inlineStr">
        <is>
          <t>INTRODUCE+ASSIGN_DUTY_PARAMETER+MERGE+FACTOR_EXCEPTION+RELATE_OBLIGATION</t>
        </is>
      </c>
      <c r="L60" s="20" t="inlineStr">
        <is>
          <t>T10</t>
        </is>
      </c>
      <c r="M60" s="20" t="inlineStr">
        <is>
          <t>One annual resilience-planning cycle; shared submission with IDI annex</t>
        </is>
      </c>
    </row>
    <row r="61" ht="35.05" customHeight="1" s="14">
      <c r="A61" s="20" t="inlineStr">
        <is>
          <t>s:REC-02</t>
        </is>
      </c>
      <c r="B61" s="20" t="inlineStr">
        <is>
          <t>Resolution, recovery &amp; contingency funding</t>
        </is>
      </c>
      <c r="C61" s="20" t="inlineStr">
        <is>
          <t>Board is responsible for oversight of the firm's recovery planning process; the board, or a designated committee thereof</t>
        </is>
      </c>
      <c r="D61" s="20" t="inlineStr">
        <is>
          <t>Section 'Role of the Board of Directors'</t>
        </is>
      </c>
      <c r="E61" s="20" t="inlineStr">
        <is>
          <t>guidance</t>
        </is>
      </c>
      <c r="F61" s="20" t="inlineStr">
        <is>
          <t>BHC</t>
        </is>
      </c>
      <c r="G61" s="20" t="inlineStr">
        <is>
          <t>Full board or designated committee</t>
        </is>
      </c>
      <c r="H61" s="20" t="inlineStr">
        <is>
          <t>supervisory</t>
        </is>
      </c>
      <c r="I61" s="20" t="inlineStr">
        <is>
          <t>verified</t>
        </is>
      </c>
      <c r="J61" s="21" t="inlineStr">
        <is>
          <t>Consolidated</t>
        </is>
      </c>
      <c r="K61" s="20" t="inlineStr">
        <is>
          <t>INTRODUCE+ASSIGN_DUTY_PARAMETER+MERGE+FACTOR_EXCEPTION+RELATE_OBLIGATION</t>
        </is>
      </c>
      <c r="L61" s="20" t="inlineStr">
        <is>
          <t>T10</t>
        </is>
      </c>
      <c r="M61" s="20" t="inlineStr">
        <is>
          <t>One annual resilience-planning cycle; shared submission with IDI annex</t>
        </is>
      </c>
    </row>
    <row r="62" ht="23.85" customHeight="1" s="14">
      <c r="A62" s="20" t="inlineStr">
        <is>
          <t>s:REC-03</t>
        </is>
      </c>
      <c r="B62" s="20" t="inlineStr">
        <is>
          <t>Resolution, recovery &amp; contingency funding</t>
        </is>
      </c>
      <c r="C62" s="20" t="inlineStr">
        <is>
          <t>Successful integration should yield timely escalation by management of identified weaknesses and planned responses to th</t>
        </is>
      </c>
      <c r="D62" s="20" t="inlineStr">
        <is>
          <t>Section 'Supervisory Expectations'; 'Internal Governance' element</t>
        </is>
      </c>
      <c r="E62" s="20" t="inlineStr">
        <is>
          <t>guidance</t>
        </is>
      </c>
      <c r="F62" s="20" t="inlineStr">
        <is>
          <t>BHC</t>
        </is>
      </c>
      <c r="G62" s="20" t="inlineStr">
        <is>
          <t>Full board</t>
        </is>
      </c>
      <c r="H62" s="20" t="inlineStr">
        <is>
          <t>supervisory</t>
        </is>
      </c>
      <c r="I62" s="22" t="inlineStr">
        <is>
          <t>unverified</t>
        </is>
      </c>
      <c r="J62" s="21" t="inlineStr">
        <is>
          <t>Consolidated</t>
        </is>
      </c>
      <c r="K62" s="20" t="inlineStr">
        <is>
          <t>INTRODUCE+ASSIGN_DUTY_PARAMETER+MERGE+FACTOR_EXCEPTION+RELATE_OBLIGATION</t>
        </is>
      </c>
      <c r="L62" s="20" t="inlineStr">
        <is>
          <t>T10</t>
        </is>
      </c>
      <c r="M62" s="20" t="inlineStr">
        <is>
          <t>One annual resilience-planning cycle; shared submission with IDI annex</t>
        </is>
      </c>
    </row>
    <row r="63" ht="23.85" customHeight="1" s="14">
      <c r="A63" s="20" t="inlineStr">
        <is>
          <t>s:REC-04</t>
        </is>
      </c>
      <c r="B63" s="20" t="inlineStr">
        <is>
          <t>Resolution, recovery &amp; contingency funding</t>
        </is>
      </c>
      <c r="C63" s="20" t="inlineStr">
        <is>
          <t>RESCINDED: Board (or an appropriate committee) was to review and approve the recovery plan at least annually and oversee</t>
        </is>
      </c>
      <c r="D63" s="20" t="inlineStr">
        <is>
          <t>App. E, Section III</t>
        </is>
      </c>
      <c r="E63" s="20" t="inlineStr">
        <is>
          <t>guidance</t>
        </is>
      </c>
      <c r="F63" s="20" t="inlineStr">
        <is>
          <t>IDI</t>
        </is>
      </c>
      <c r="G63" s="20" t="inlineStr">
        <is>
          <t>n/a (rescinded)</t>
        </is>
      </c>
      <c r="H63" s="20" t="inlineStr">
        <is>
          <t>supervisory</t>
        </is>
      </c>
      <c r="I63" s="22" t="inlineStr">
        <is>
          <t>unverified</t>
        </is>
      </c>
      <c r="J63" s="21" t="inlineStr">
        <is>
          <t>Consolidated</t>
        </is>
      </c>
      <c r="K63" s="20" t="inlineStr">
        <is>
          <t>INTRODUCE+ASSIGN_DUTY_PARAMETER+MERGE+FACTOR_EXCEPTION+RELATE_OBLIGATION</t>
        </is>
      </c>
      <c r="L63" s="20" t="inlineStr">
        <is>
          <t>T10</t>
        </is>
      </c>
      <c r="M63" s="20" t="inlineStr">
        <is>
          <t>One annual resilience-planning cycle; shared submission with IDI annex</t>
        </is>
      </c>
    </row>
    <row r="64" ht="35.05" customHeight="1" s="14">
      <c r="A64" s="20" t="inlineStr">
        <is>
          <t>s:RES-01</t>
        </is>
      </c>
      <c r="B64" s="20" t="inlineStr">
        <is>
          <t>Resolution, recovery &amp; contingency funding</t>
        </is>
      </c>
      <c r="C64" s="20" t="inlineStr">
        <is>
          <t>Firm should identify governance mechanisms ensuring execution of required board actions at the appropriate time, with pr</t>
        </is>
      </c>
      <c r="D64" s="20" t="inlineStr">
        <is>
          <t>Section IV (Governance Mechanisms), p. 54</t>
        </is>
      </c>
      <c r="E64" s="20" t="inlineStr">
        <is>
          <t>guidance</t>
        </is>
      </c>
      <c r="F64" s="20" t="inlineStr">
        <is>
          <t>both</t>
        </is>
      </c>
      <c r="G64" s="20" t="inlineStr">
        <is>
          <t>Full board (parent and material-entity boards)</t>
        </is>
      </c>
      <c r="H64" s="20" t="inlineStr">
        <is>
          <t>supervisory</t>
        </is>
      </c>
      <c r="I64" s="22" t="inlineStr">
        <is>
          <t>unverified</t>
        </is>
      </c>
      <c r="J64" s="21" t="inlineStr">
        <is>
          <t>Consolidated</t>
        </is>
      </c>
      <c r="K64" s="20" t="inlineStr">
        <is>
          <t>INTRODUCE+ASSIGN_DUTY_PARAMETER+MERGE+FACTOR_EXCEPTION+RELATE_OBLIGATION</t>
        </is>
      </c>
      <c r="L64" s="20" t="inlineStr">
        <is>
          <t>T10</t>
        </is>
      </c>
      <c r="M64" s="20" t="inlineStr">
        <is>
          <t>One annual resilience-planning cycle; shared submission with IDI annex</t>
        </is>
      </c>
    </row>
    <row r="65" ht="23.85" customHeight="1" s="14">
      <c r="A65" s="20" t="inlineStr">
        <is>
          <t>s:RES-02</t>
        </is>
      </c>
      <c r="B65" s="20" t="inlineStr">
        <is>
          <t>Resolution, recovery &amp; contingency funding</t>
        </is>
      </c>
      <c r="C65" s="20" t="inlineStr">
        <is>
          <t>Governance playbooks should discuss the boards' fiduciary responsibilities and how planned actions are consistent with t</t>
        </is>
      </c>
      <c r="D65" s="20" t="inlineStr">
        <is>
          <t>Section IV, pp. 54-55</t>
        </is>
      </c>
      <c r="E65" s="20" t="inlineStr">
        <is>
          <t>guidance</t>
        </is>
      </c>
      <c r="F65" s="20" t="inlineStr">
        <is>
          <t>both</t>
        </is>
      </c>
      <c r="G65" s="20" t="inlineStr">
        <is>
          <t>Full board (group-wide boards)</t>
        </is>
      </c>
      <c r="H65" s="20" t="inlineStr">
        <is>
          <t>supervisory</t>
        </is>
      </c>
      <c r="I65" s="22" t="inlineStr">
        <is>
          <t>unverified</t>
        </is>
      </c>
      <c r="J65" s="21" t="inlineStr">
        <is>
          <t>Consolidated</t>
        </is>
      </c>
      <c r="K65" s="20" t="inlineStr">
        <is>
          <t>INTRODUCE+ASSIGN_DUTY_PARAMETER+MERGE+FACTOR_EXCEPTION+RELATE_OBLIGATION</t>
        </is>
      </c>
      <c r="L65" s="20" t="inlineStr">
        <is>
          <t>T10</t>
        </is>
      </c>
      <c r="M65" s="20" t="inlineStr">
        <is>
          <t>One annual resilience-planning cycle; shared submission with IDI annex</t>
        </is>
      </c>
    </row>
    <row r="66" ht="23.85" customHeight="1" s="14">
      <c r="A66" s="20" t="inlineStr">
        <is>
          <t>s:RES-03</t>
        </is>
      </c>
      <c r="B66" s="20" t="inlineStr">
        <is>
          <t>Resolution, recovery &amp; contingency funding</t>
        </is>
      </c>
      <c r="C66" s="20" t="inlineStr">
        <is>
          <t>Firm should establish triggers for escalation of information to senior management and the board(s) leading to the decisi</t>
        </is>
      </c>
      <c r="D66" s="20" t="inlineStr">
        <is>
          <t>Section IV, p. 55</t>
        </is>
      </c>
      <c r="E66" s="20" t="inlineStr">
        <is>
          <t>guidance</t>
        </is>
      </c>
      <c r="F66" s="20" t="inlineStr">
        <is>
          <t>both</t>
        </is>
      </c>
      <c r="G66" s="20" t="inlineStr">
        <is>
          <t>Full board (filing decision)</t>
        </is>
      </c>
      <c r="H66" s="20" t="inlineStr">
        <is>
          <t>supervisory</t>
        </is>
      </c>
      <c r="I66" s="22" t="inlineStr">
        <is>
          <t>unverified</t>
        </is>
      </c>
      <c r="J66" s="21" t="inlineStr">
        <is>
          <t>Consolidated</t>
        </is>
      </c>
      <c r="K66" s="20" t="inlineStr">
        <is>
          <t>INTRODUCE+ASSIGN_DUTY_PARAMETER+MERGE+FACTOR_EXCEPTION+RELATE_OBLIGATION</t>
        </is>
      </c>
      <c r="L66" s="20" t="inlineStr">
        <is>
          <t>T10</t>
        </is>
      </c>
      <c r="M66" s="20" t="inlineStr">
        <is>
          <t>One annual resilience-planning cycle; shared submission with IDI annex</t>
        </is>
      </c>
    </row>
    <row r="67" ht="23.85" customHeight="1" s="14">
      <c r="A67" s="20" t="inlineStr">
        <is>
          <t>s:RES-04</t>
        </is>
      </c>
      <c r="B67" s="20" t="inlineStr">
        <is>
          <t>Resolution, recovery &amp; contingency funding</t>
        </is>
      </c>
      <c r="C67" s="20" t="inlineStr">
        <is>
          <t>The Resolution Liquidity Execution Need (RLEN) estimate should be tied to governance mechanisms and incorporated into pl</t>
        </is>
      </c>
      <c r="D67" s="20" t="inlineStr">
        <is>
          <t>Liquidity section, p. 53</t>
        </is>
      </c>
      <c r="E67" s="20" t="inlineStr">
        <is>
          <t>guidance</t>
        </is>
      </c>
      <c r="F67" s="20" t="inlineStr">
        <is>
          <t>both</t>
        </is>
      </c>
      <c r="G67" s="20" t="inlineStr">
        <is>
          <t>Full board</t>
        </is>
      </c>
      <c r="H67" s="20" t="inlineStr">
        <is>
          <t>supervisory</t>
        </is>
      </c>
      <c r="I67" s="22" t="inlineStr">
        <is>
          <t>unverified</t>
        </is>
      </c>
      <c r="J67" s="21" t="inlineStr">
        <is>
          <t>Consolidated</t>
        </is>
      </c>
      <c r="K67" s="20" t="inlineStr">
        <is>
          <t>INTRODUCE+ASSIGN_DUTY_PARAMETER+MERGE+FACTOR_EXCEPTION+RELATE_OBLIGATION</t>
        </is>
      </c>
      <c r="L67" s="20" t="inlineStr">
        <is>
          <t>T10</t>
        </is>
      </c>
      <c r="M67" s="20" t="inlineStr">
        <is>
          <t>One annual resilience-planning cycle; shared submission with IDI annex</t>
        </is>
      </c>
    </row>
    <row r="68" ht="35.05" customHeight="1" s="14">
      <c r="A68" s="20" t="inlineStr">
        <is>
          <t>s:RES-05</t>
        </is>
      </c>
      <c r="B68" s="20" t="inlineStr">
        <is>
          <t>Resolution, recovery &amp; contingency funding</t>
        </is>
      </c>
      <c r="C68" s="20" t="inlineStr">
        <is>
          <t>A covered IDI's resolution submission must include procedures for escalating decision-making to senior management or the</t>
        </is>
      </c>
      <c r="D68" s="20" t="inlineStr">
        <is>
          <t>12 CFR 360.10 (content requirements)</t>
        </is>
      </c>
      <c r="E68" s="20" t="inlineStr">
        <is>
          <t>regulation</t>
        </is>
      </c>
      <c r="F68" s="20" t="inlineStr">
        <is>
          <t>IDI</t>
        </is>
      </c>
      <c r="G68" s="20" t="inlineStr">
        <is>
          <t>Full board or appropriate committee</t>
        </is>
      </c>
      <c r="H68" s="20" t="inlineStr">
        <is>
          <t>supervisory</t>
        </is>
      </c>
      <c r="I68" s="20" t="inlineStr">
        <is>
          <t>verified</t>
        </is>
      </c>
      <c r="J68" s="21" t="inlineStr">
        <is>
          <t>Consolidated</t>
        </is>
      </c>
      <c r="K68" s="20" t="inlineStr">
        <is>
          <t>INTRODUCE+ASSIGN_DUTY_PARAMETER+MERGE+FACTOR_EXCEPTION+RELATE_OBLIGATION</t>
        </is>
      </c>
      <c r="L68" s="20" t="inlineStr">
        <is>
          <t>T10</t>
        </is>
      </c>
      <c r="M68" s="20" t="inlineStr">
        <is>
          <t>One annual resilience-planning cycle; shared submission with IDI annex</t>
        </is>
      </c>
    </row>
    <row r="69" ht="23.85" customHeight="1" s="14">
      <c r="A69" s="20" t="inlineStr">
        <is>
          <t>b:CRD-01</t>
        </is>
      </c>
      <c r="B69" s="20" t="inlineStr">
        <is>
          <t>Credit risk governance</t>
        </is>
      </c>
      <c r="C69" s="20" t="inlineStr">
        <is>
          <t>Board must adopt and review at least annually a written real-estate-lending policy consistent with safe-and-sound standa</t>
        </is>
      </c>
      <c r="D69" s="20" t="inlineStr">
        <is>
          <t>12 CFR 208 subpart E / 12 CFR 365 / 12 CFR 34 subpart D</t>
        </is>
      </c>
      <c r="E69" s="20" t="inlineStr">
        <is>
          <t>regulation</t>
        </is>
      </c>
      <c r="F69" s="20" t="inlineStr">
        <is>
          <t>IDI</t>
        </is>
      </c>
      <c r="G69" s="20" t="inlineStr">
        <is>
          <t>Full board</t>
        </is>
      </c>
      <c r="H69" s="20" t="inlineStr">
        <is>
          <t>binding</t>
        </is>
      </c>
      <c r="I69" s="22" t="inlineStr">
        <is>
          <t>unverified</t>
        </is>
      </c>
      <c r="J69" s="21" t="inlineStr">
        <is>
          <t>Consolidated</t>
        </is>
      </c>
      <c r="K69" s="20" t="inlineStr">
        <is>
          <t>MERGE+CANONICALIZE_DEFINITION+RESOLVE_CROSS_REFERENCE</t>
        </is>
      </c>
      <c r="L69" s="20" t="inlineStr">
        <is>
          <t>T11</t>
        </is>
      </c>
      <c r="M69" s="20" t="inlineStr">
        <is>
          <t>Credit-risk governance framework approval (one RE-lending standard)</t>
        </is>
      </c>
    </row>
    <row r="70" ht="35.05" customHeight="1" s="14">
      <c r="A70" s="20" t="inlineStr">
        <is>
          <t>b:CRD-02</t>
        </is>
      </c>
      <c r="B70" s="20" t="inlineStr">
        <is>
          <t>Credit risk governance</t>
        </is>
      </c>
      <c r="C70" s="20" t="inlineStr">
        <is>
          <t>Board oversight of the allowance for credit losses (ACL/CECL) framework and methodology, ensuring an appropriate, well-d</t>
        </is>
      </c>
      <c r="D70" s="20" t="inlineStr">
        <is>
          <t>Interagency ACL policy statement; ASC 326</t>
        </is>
      </c>
      <c r="E70" s="20" t="inlineStr">
        <is>
          <t>regulation</t>
        </is>
      </c>
      <c r="F70" s="20" t="inlineStr">
        <is>
          <t>both</t>
        </is>
      </c>
      <c r="G70" s="20" t="inlineStr">
        <is>
          <t>Full board or designated committee</t>
        </is>
      </c>
      <c r="H70" s="20" t="inlineStr">
        <is>
          <t>binding</t>
        </is>
      </c>
      <c r="I70" s="22" t="inlineStr">
        <is>
          <t>unverified</t>
        </is>
      </c>
      <c r="J70" s="21" t="inlineStr">
        <is>
          <t>Consolidated</t>
        </is>
      </c>
      <c r="K70" s="20" t="inlineStr">
        <is>
          <t>MERGE+CANONICALIZE_DEFINITION+RESOLVE_CROSS_REFERENCE</t>
        </is>
      </c>
      <c r="L70" s="20" t="inlineStr">
        <is>
          <t>T11</t>
        </is>
      </c>
      <c r="M70" s="20" t="inlineStr">
        <is>
          <t>Credit-risk governance framework approval (one RE-lending standard)</t>
        </is>
      </c>
    </row>
    <row r="71" ht="23.85" customHeight="1" s="14">
      <c r="A71" s="20" t="inlineStr">
        <is>
          <t>b:CRD-03</t>
        </is>
      </c>
      <c r="B71" s="20" t="inlineStr">
        <is>
          <t>Credit risk governance</t>
        </is>
      </c>
      <c r="C71" s="20" t="inlineStr">
        <is>
          <t>Board ensures an independent credit-risk-review (loan review) function whose findings are reported to the board or a com</t>
        </is>
      </c>
      <c r="D71" s="20" t="inlineStr">
        <is>
          <t>12 CFR part 30 App. D (independent risk mgmt)</t>
        </is>
      </c>
      <c r="E71" s="20" t="inlineStr">
        <is>
          <t>regulation</t>
        </is>
      </c>
      <c r="F71" s="20" t="inlineStr">
        <is>
          <t>both</t>
        </is>
      </c>
      <c r="G71" s="20" t="inlineStr">
        <is>
          <t>Full board or risk committee</t>
        </is>
      </c>
      <c r="H71" s="20" t="inlineStr">
        <is>
          <t>binding</t>
        </is>
      </c>
      <c r="I71" s="20" t="inlineStr">
        <is>
          <t>verified</t>
        </is>
      </c>
      <c r="J71" s="21" t="inlineStr">
        <is>
          <t>Consolidated</t>
        </is>
      </c>
      <c r="K71" s="20" t="inlineStr">
        <is>
          <t>MERGE+CANONICALIZE_DEFINITION+RESOLVE_CROSS_REFERENCE</t>
        </is>
      </c>
      <c r="L71" s="20" t="inlineStr">
        <is>
          <t>T11</t>
        </is>
      </c>
      <c r="M71" s="20" t="inlineStr">
        <is>
          <t>Credit-risk governance framework approval (one RE-lending standard)</t>
        </is>
      </c>
    </row>
    <row r="72" ht="35.05" customHeight="1" s="14">
      <c r="A72" s="20" t="inlineStr">
        <is>
          <t>b:CRD-06</t>
        </is>
      </c>
      <c r="B72" s="20" t="inlineStr">
        <is>
          <t>Credit risk governance</t>
        </is>
      </c>
      <c r="C72" s="20" t="inlineStr">
        <is>
          <t>Board oversight of correspondent credit-concentration policies limiting exposure to individual correspondent banks.</t>
        </is>
      </c>
      <c r="D72" s="20" t="inlineStr">
        <is>
          <t>12 CFR part 206</t>
        </is>
      </c>
      <c r="E72" s="20" t="inlineStr">
        <is>
          <t>regulation</t>
        </is>
      </c>
      <c r="F72" s="20" t="inlineStr">
        <is>
          <t>IDI</t>
        </is>
      </c>
      <c r="G72" s="20" t="inlineStr">
        <is>
          <t>Full board or designated committee</t>
        </is>
      </c>
      <c r="H72" s="20" t="inlineStr">
        <is>
          <t>binding</t>
        </is>
      </c>
      <c r="I72" s="22" t="inlineStr">
        <is>
          <t>unverified</t>
        </is>
      </c>
      <c r="J72" s="21" t="inlineStr">
        <is>
          <t>Consolidated</t>
        </is>
      </c>
      <c r="K72" s="20" t="inlineStr">
        <is>
          <t>MERGE+CANONICALIZE_DEFINITION+RESOLVE_CROSS_REFERENCE</t>
        </is>
      </c>
      <c r="L72" s="20" t="inlineStr">
        <is>
          <t>T11</t>
        </is>
      </c>
      <c r="M72" s="20" t="inlineStr">
        <is>
          <t>Credit-risk governance framework approval (one RE-lending standard)</t>
        </is>
      </c>
    </row>
    <row r="73" ht="23.85" customHeight="1" s="14">
      <c r="A73" s="20" t="inlineStr">
        <is>
          <t>s:CRX-01</t>
        </is>
      </c>
      <c r="B73" s="20" t="inlineStr">
        <is>
          <t>Credit risk governance</t>
        </is>
      </c>
      <c r="C73" s="20" t="inlineStr">
        <is>
          <t>Board oversight of credit-risk appetite, concentration limits, and credit-administration quality; review of problem-asse</t>
        </is>
      </c>
      <c r="D73" s="20" t="inlineStr">
        <is>
          <t>Credit-risk handbook/manual sections</t>
        </is>
      </c>
      <c r="E73" s="20" t="inlineStr">
        <is>
          <t>guidance</t>
        </is>
      </c>
      <c r="F73" s="20" t="inlineStr">
        <is>
          <t>both</t>
        </is>
      </c>
      <c r="G73" s="20" t="inlineStr">
        <is>
          <t>Full board or risk/credit committee</t>
        </is>
      </c>
      <c r="H73" s="20" t="inlineStr">
        <is>
          <t>supervisory</t>
        </is>
      </c>
      <c r="I73" s="22" t="inlineStr">
        <is>
          <t>unverified</t>
        </is>
      </c>
      <c r="J73" s="21" t="inlineStr">
        <is>
          <t>Consolidated</t>
        </is>
      </c>
      <c r="K73" s="20" t="inlineStr">
        <is>
          <t>MERGE+CANONICALIZE_DEFINITION+RESOLVE_CROSS_REFERENCE</t>
        </is>
      </c>
      <c r="L73" s="20" t="inlineStr">
        <is>
          <t>T11</t>
        </is>
      </c>
      <c r="M73" s="20" t="inlineStr">
        <is>
          <t>Credit-risk governance framework approval (one RE-lending standard)</t>
        </is>
      </c>
    </row>
    <row r="74" ht="23.85" customHeight="1" s="14">
      <c r="A74" s="20" t="inlineStr">
        <is>
          <t>s:CRX-02</t>
        </is>
      </c>
      <c r="B74" s="20" t="inlineStr">
        <is>
          <t>Credit risk governance</t>
        </is>
      </c>
      <c r="C74" s="20" t="inlineStr">
        <is>
          <t>Board or committee oversight of counterparty credit risk and, where applicable, leveraged-lending risk-appetite and exce</t>
        </is>
      </c>
      <c r="D74" s="20" t="inlineStr">
        <is>
          <t>SR 11-10; 2013 leveraged-lending guidance</t>
        </is>
      </c>
      <c r="E74" s="20" t="inlineStr">
        <is>
          <t>guidance</t>
        </is>
      </c>
      <c r="F74" s="20" t="inlineStr">
        <is>
          <t>both</t>
        </is>
      </c>
      <c r="G74" s="20" t="inlineStr">
        <is>
          <t>Risk / credit committee</t>
        </is>
      </c>
      <c r="H74" s="20" t="inlineStr">
        <is>
          <t>supervisory</t>
        </is>
      </c>
      <c r="I74" s="20" t="inlineStr">
        <is>
          <t>verified</t>
        </is>
      </c>
      <c r="J74" s="21" t="inlineStr">
        <is>
          <t>Consolidated</t>
        </is>
      </c>
      <c r="K74" s="20" t="inlineStr">
        <is>
          <t>MERGE+CANONICALIZE_DEFINITION+RESOLVE_CROSS_REFERENCE</t>
        </is>
      </c>
      <c r="L74" s="20" t="inlineStr">
        <is>
          <t>T11</t>
        </is>
      </c>
      <c r="M74" s="20" t="inlineStr">
        <is>
          <t>Credit-risk governance framework approval (one RE-lending standard)</t>
        </is>
      </c>
    </row>
    <row r="75" ht="23.85" customHeight="1" s="14">
      <c r="A75" s="20" t="inlineStr">
        <is>
          <t>b:AFF-01</t>
        </is>
      </c>
      <c r="B75" s="20" t="inlineStr">
        <is>
          <t>Insider / affiliate / related-party</t>
        </is>
      </c>
      <c r="C75" s="20" t="inlineStr">
        <is>
          <t>Board must ensure insider extensions of credit are made on substantially the same terms as comparable transactions, obse</t>
        </is>
      </c>
      <c r="D75" s="20" t="inlineStr">
        <is>
          <t>12 CFR part 215 (215.4); 12 U.S.C. 375b</t>
        </is>
      </c>
      <c r="E75" s="20" t="inlineStr">
        <is>
          <t>regulation</t>
        </is>
      </c>
      <c r="F75" s="20" t="inlineStr">
        <is>
          <t>IDI</t>
        </is>
      </c>
      <c r="G75" s="20" t="inlineStr">
        <is>
          <t>Full board</t>
        </is>
      </c>
      <c r="H75" s="20" t="inlineStr">
        <is>
          <t>binding</t>
        </is>
      </c>
      <c r="I75" s="20" t="inlineStr">
        <is>
          <t>verified</t>
        </is>
      </c>
      <c r="J75" s="23" t="inlineStr">
        <is>
          <t>Retained</t>
        </is>
      </c>
      <c r="K75" s="20" t="inlineStr">
        <is>
          <t>per-cluster package</t>
        </is>
      </c>
      <c r="L75" s="20" t="inlineStr">
        <is>
          <t>T12</t>
        </is>
      </c>
      <c r="M75" s="20" t="inlineStr">
        <is>
          <t>Insider/affiliate duties retained (Reg O / 23A-23B) — coordinated, not merged</t>
        </is>
      </c>
    </row>
    <row r="76" ht="23.85" customHeight="1" s="14">
      <c r="A76" s="20" t="inlineStr">
        <is>
          <t>b:AFF-02</t>
        </is>
      </c>
      <c r="B76" s="20" t="inlineStr">
        <is>
          <t>Insider / affiliate / related-party</t>
        </is>
      </c>
      <c r="C76" s="20" t="inlineStr">
        <is>
          <t>Board must ensure policies and procedures for compliance with sections 23A/23B, observance of quantitative limits on cov</t>
        </is>
      </c>
      <c r="D76" s="20" t="inlineStr">
        <is>
          <t>12 CFR part 223; 12 U.S.C. 371c, 371c-1</t>
        </is>
      </c>
      <c r="E76" s="20" t="inlineStr">
        <is>
          <t>regulation</t>
        </is>
      </c>
      <c r="F76" s="20" t="inlineStr">
        <is>
          <t>IDI</t>
        </is>
      </c>
      <c r="G76" s="20" t="inlineStr">
        <is>
          <t>Full board</t>
        </is>
      </c>
      <c r="H76" s="20" t="inlineStr">
        <is>
          <t>binding</t>
        </is>
      </c>
      <c r="I76" s="20" t="inlineStr">
        <is>
          <t>verified</t>
        </is>
      </c>
      <c r="J76" s="23" t="inlineStr">
        <is>
          <t>Retained</t>
        </is>
      </c>
      <c r="K76" s="20" t="inlineStr">
        <is>
          <t>per-cluster package</t>
        </is>
      </c>
      <c r="L76" s="20" t="inlineStr">
        <is>
          <t>T12</t>
        </is>
      </c>
      <c r="M76" s="20" t="inlineStr">
        <is>
          <t>Insider/affiliate duties retained (Reg O / 23A-23B) — coordinated, not merged</t>
        </is>
      </c>
    </row>
    <row r="77" ht="23.85" customHeight="1" s="14">
      <c r="A77" s="20" t="inlineStr">
        <is>
          <t>b:CRD-04</t>
        </is>
      </c>
      <c r="B77" s="20" t="inlineStr">
        <is>
          <t>Insider / affiliate / related-party</t>
        </is>
      </c>
      <c r="C77" s="20" t="inlineStr">
        <is>
          <t>Prior board approval (majority of the entire board, interested party abstaining) of extensions of credit to executive of</t>
        </is>
      </c>
      <c r="D77" s="20" t="inlineStr">
        <is>
          <t>12 CFR part 215; 12 U.S.C. 375b(3)</t>
        </is>
      </c>
      <c r="E77" s="20" t="inlineStr">
        <is>
          <t>statute</t>
        </is>
      </c>
      <c r="F77" s="20" t="inlineStr">
        <is>
          <t>IDI</t>
        </is>
      </c>
      <c r="G77" s="20" t="inlineStr">
        <is>
          <t>Majority of the entire board</t>
        </is>
      </c>
      <c r="H77" s="20" t="inlineStr">
        <is>
          <t>binding</t>
        </is>
      </c>
      <c r="I77" s="20" t="inlineStr">
        <is>
          <t>verified</t>
        </is>
      </c>
      <c r="J77" s="23" t="inlineStr">
        <is>
          <t>Retained</t>
        </is>
      </c>
      <c r="K77" s="20" t="inlineStr">
        <is>
          <t>per-cluster package</t>
        </is>
      </c>
      <c r="L77" s="20" t="inlineStr">
        <is>
          <t>T12</t>
        </is>
      </c>
      <c r="M77" s="20" t="inlineStr">
        <is>
          <t>Insider/affiliate duties retained (Reg O / 23A-23B) — coordinated, not merged</t>
        </is>
      </c>
    </row>
    <row r="78" ht="23.85" customHeight="1" s="14">
      <c r="A78" s="20" t="inlineStr">
        <is>
          <t>b:CRD-05</t>
        </is>
      </c>
      <c r="B78" s="20" t="inlineStr">
        <is>
          <t>Insider / affiliate / related-party</t>
        </is>
      </c>
      <c r="C78" s="20" t="inlineStr">
        <is>
          <t>Discrete affiliate-transaction board approvals under Regulation W: affiliate-underwritten securities purchases (§223.53(</t>
        </is>
      </c>
      <c r="D78" s="20" t="inlineStr">
        <is>
          <t>12 CFR part 223; 12 U.S.C. 371c-1</t>
        </is>
      </c>
      <c r="E78" s="20" t="inlineStr">
        <is>
          <t>regulation</t>
        </is>
      </c>
      <c r="F78" s="20" t="inlineStr">
        <is>
          <t>IDI</t>
        </is>
      </c>
      <c r="G78" s="20" t="inlineStr">
        <is>
          <t>Majority of the board</t>
        </is>
      </c>
      <c r="H78" s="20" t="inlineStr">
        <is>
          <t>binding</t>
        </is>
      </c>
      <c r="I78" s="20" t="inlineStr">
        <is>
          <t>verified</t>
        </is>
      </c>
      <c r="J78" s="23" t="inlineStr">
        <is>
          <t>Retained</t>
        </is>
      </c>
      <c r="K78" s="20" t="inlineStr">
        <is>
          <t>per-cluster package</t>
        </is>
      </c>
      <c r="L78" s="20" t="inlineStr">
        <is>
          <t>T12</t>
        </is>
      </c>
      <c r="M78" s="20" t="inlineStr">
        <is>
          <t>Insider/affiliate duties retained (Reg O / 23A-23B) — coordinated, not merged</t>
        </is>
      </c>
    </row>
    <row r="79" ht="23.85" customHeight="1" s="14">
      <c r="A79" s="20" t="inlineStr">
        <is>
          <t>b:IND-09</t>
        </is>
      </c>
      <c r="B79" s="20" t="inlineStr">
        <is>
          <t>Insider / affiliate / related-party</t>
        </is>
      </c>
      <c r="C79" s="20" t="inlineStr">
        <is>
          <t>Board must review and approve (and disclose) related-party transactions.</t>
        </is>
      </c>
      <c r="D79" s="20" t="inlineStr">
        <is>
          <t>17 CFR 229.404</t>
        </is>
      </c>
      <c r="E79" s="20" t="inlineStr">
        <is>
          <t>regulation</t>
        </is>
      </c>
      <c r="F79" s="20" t="inlineStr">
        <is>
          <t>BHC</t>
        </is>
      </c>
      <c r="G79" s="20" t="inlineStr">
        <is>
          <t>Full board / audit committee</t>
        </is>
      </c>
      <c r="H79" s="20" t="inlineStr">
        <is>
          <t>binding</t>
        </is>
      </c>
      <c r="I79" s="20" t="inlineStr">
        <is>
          <t>verified</t>
        </is>
      </c>
      <c r="J79" s="23" t="inlineStr">
        <is>
          <t>Retained</t>
        </is>
      </c>
      <c r="K79" s="20" t="inlineStr">
        <is>
          <t>per-cluster package</t>
        </is>
      </c>
      <c r="L79" s="20" t="inlineStr">
        <is>
          <t>T12</t>
        </is>
      </c>
      <c r="M79" s="20" t="inlineStr">
        <is>
          <t>Insider/affiliate duties retained (Reg O / 23A-23B) — coordinated, not merged</t>
        </is>
      </c>
    </row>
    <row r="80" ht="35.05" customHeight="1" s="14">
      <c r="A80" s="20" t="inlineStr">
        <is>
          <t>b:CYB-01</t>
        </is>
      </c>
      <c r="B80" s="20" t="inlineStr">
        <is>
          <t>Information security &amp; cybersecurity</t>
        </is>
      </c>
      <c r="C80" s="20" t="inlineStr">
        <is>
          <t>Board (or an appropriate committee) must approve the written information-security program and oversee its development, i</t>
        </is>
      </c>
      <c r="D80" s="20" t="inlineStr">
        <is>
          <t>12 CFR part 30 App. B; part 208 App. D-2; part 225 App. F; part 364 App. B</t>
        </is>
      </c>
      <c r="E80" s="20" t="inlineStr">
        <is>
          <t>regulation</t>
        </is>
      </c>
      <c r="F80" s="20" t="inlineStr">
        <is>
          <t>both</t>
        </is>
      </c>
      <c r="G80" s="20" t="inlineStr">
        <is>
          <t>Full board or committee</t>
        </is>
      </c>
      <c r="H80" s="20" t="inlineStr">
        <is>
          <t>binding</t>
        </is>
      </c>
      <c r="I80" s="20" t="inlineStr">
        <is>
          <t>verified</t>
        </is>
      </c>
      <c r="J80" s="21" t="inlineStr">
        <is>
          <t>Consolidated</t>
        </is>
      </c>
      <c r="K80" s="20" t="inlineStr">
        <is>
          <t>MERGE+CANONICALIZE_DEFINITION+RESOLVE_CROSS_REFERENCE</t>
        </is>
      </c>
      <c r="L80" s="20" t="inlineStr">
        <is>
          <t>T13</t>
        </is>
      </c>
      <c r="M80" s="20" t="inlineStr">
        <is>
          <t>One enterprise information-security program approval; single incident standard</t>
        </is>
      </c>
    </row>
    <row r="81" ht="23.85" customHeight="1" s="14">
      <c r="A81" s="20" t="inlineStr">
        <is>
          <t>b:CYB-02</t>
        </is>
      </c>
      <c r="B81" s="20" t="inlineStr">
        <is>
          <t>Information security &amp; cybersecurity</t>
        </is>
      </c>
      <c r="C81" s="20" t="inlineStr">
        <is>
          <t>Board (or committee) must receive a report on the information-security program at least annually.</t>
        </is>
      </c>
      <c r="D81" s="20" t="inlineStr">
        <is>
          <t>12 CFR part 30 App. B, sec. III.F</t>
        </is>
      </c>
      <c r="E81" s="20" t="inlineStr">
        <is>
          <t>regulation</t>
        </is>
      </c>
      <c r="F81" s="20" t="inlineStr">
        <is>
          <t>both</t>
        </is>
      </c>
      <c r="G81" s="20" t="inlineStr">
        <is>
          <t>Full board or committee</t>
        </is>
      </c>
      <c r="H81" s="20" t="inlineStr">
        <is>
          <t>binding</t>
        </is>
      </c>
      <c r="I81" s="20" t="inlineStr">
        <is>
          <t>verified</t>
        </is>
      </c>
      <c r="J81" s="21" t="inlineStr">
        <is>
          <t>Consolidated</t>
        </is>
      </c>
      <c r="K81" s="20" t="inlineStr">
        <is>
          <t>MERGE+CANONICALIZE_DEFINITION+RESOLVE_CROSS_REFERENCE</t>
        </is>
      </c>
      <c r="L81" s="20" t="inlineStr">
        <is>
          <t>T13</t>
        </is>
      </c>
      <c r="M81" s="20" t="inlineStr">
        <is>
          <t>One enterprise information-security program approval; single incident standard</t>
        </is>
      </c>
    </row>
    <row r="82" ht="23.85" customHeight="1" s="14">
      <c r="A82" s="20" t="inlineStr">
        <is>
          <t>b:CYB-03</t>
        </is>
      </c>
      <c r="B82" s="20" t="inlineStr">
        <is>
          <t>Information security &amp; cybersecurity</t>
        </is>
      </c>
      <c r="C82" s="20" t="inlineStr">
        <is>
          <t>Board oversight of cybersecurity risk must be disclosed; material cybersecurity incidents must be disclosed on Form 8-K.</t>
        </is>
      </c>
      <c r="D82" s="20" t="inlineStr">
        <is>
          <t>17 CFR 229.106 (Reg S-K Item 106); Form 8-K Item 1.05</t>
        </is>
      </c>
      <c r="E82" s="20" t="inlineStr">
        <is>
          <t>regulation</t>
        </is>
      </c>
      <c r="F82" s="20" t="inlineStr">
        <is>
          <t>BHC</t>
        </is>
      </c>
      <c r="G82" s="20" t="inlineStr">
        <is>
          <t>Full board</t>
        </is>
      </c>
      <c r="H82" s="20" t="inlineStr">
        <is>
          <t>binding</t>
        </is>
      </c>
      <c r="I82" s="20" t="inlineStr">
        <is>
          <t>verified</t>
        </is>
      </c>
      <c r="J82" s="21" t="inlineStr">
        <is>
          <t>Consolidated</t>
        </is>
      </c>
      <c r="K82" s="20" t="inlineStr">
        <is>
          <t>MERGE+CANONICALIZE_DEFINITION+RESOLVE_CROSS_REFERENCE</t>
        </is>
      </c>
      <c r="L82" s="20" t="inlineStr">
        <is>
          <t>T13</t>
        </is>
      </c>
      <c r="M82" s="20" t="inlineStr">
        <is>
          <t>One enterprise information-security program approval; single incident standard</t>
        </is>
      </c>
    </row>
    <row r="83" ht="35.05" customHeight="1" s="14">
      <c r="A83" s="20" t="inlineStr">
        <is>
          <t>b:CYB-04</t>
        </is>
      </c>
      <c r="B83" s="20" t="inlineStr">
        <is>
          <t>Information security &amp; cybersecurity</t>
        </is>
      </c>
      <c r="C83" s="20" t="inlineStr">
        <is>
          <t xml:space="preserve">Entity must notify its primary federal regulator within 36 hours of a 'notification incident'; the determination relies </t>
        </is>
      </c>
      <c r="D83" s="20" t="inlineStr">
        <is>
          <t>12 CFR part 53 (OCC); part 225 subpart N (FRB); part 304 subpart C (FDIC)</t>
        </is>
      </c>
      <c r="E83" s="20" t="inlineStr">
        <is>
          <t>regulation</t>
        </is>
      </c>
      <c r="F83" s="20" t="inlineStr">
        <is>
          <t>both</t>
        </is>
      </c>
      <c r="G83" s="20" t="inlineStr">
        <is>
          <t>Entity-level (board-overseen escalation)</t>
        </is>
      </c>
      <c r="H83" s="20" t="inlineStr">
        <is>
          <t>binding</t>
        </is>
      </c>
      <c r="I83" s="22" t="inlineStr">
        <is>
          <t>unverified</t>
        </is>
      </c>
      <c r="J83" s="21" t="inlineStr">
        <is>
          <t>Consolidated</t>
        </is>
      </c>
      <c r="K83" s="20" t="inlineStr">
        <is>
          <t>MERGE+CANONICALIZE_DEFINITION+RESOLVE_CROSS_REFERENCE</t>
        </is>
      </c>
      <c r="L83" s="20" t="inlineStr">
        <is>
          <t>T13</t>
        </is>
      </c>
      <c r="M83" s="20" t="inlineStr">
        <is>
          <t>One enterprise information-security program approval; single incident standard</t>
        </is>
      </c>
    </row>
    <row r="84" ht="57.45" customHeight="1" s="14">
      <c r="A84" s="20" t="inlineStr">
        <is>
          <t>s:CYB-01</t>
        </is>
      </c>
      <c r="B84" s="20" t="inlineStr">
        <is>
          <t>Information security &amp; cybersecurity</t>
        </is>
      </c>
      <c r="C84" s="20" t="inlineStr">
        <is>
          <t>Board oversees the development, implementation, management, and maintenance of the information security program; annuall</t>
        </is>
      </c>
      <c r="D84" s="20" t="inlineStr">
        <is>
          <t>Sec. I.A / I.B (Governance of the Information Security Program)</t>
        </is>
      </c>
      <c r="E84" s="20" t="inlineStr">
        <is>
          <t>manual</t>
        </is>
      </c>
      <c r="F84" s="20" t="inlineStr">
        <is>
          <t>both</t>
        </is>
      </c>
      <c r="G84" s="20" t="inlineStr">
        <is>
          <t>Full board (typically discharged through risk and/or audit committee at large firms)</t>
        </is>
      </c>
      <c r="H84" s="20" t="inlineStr">
        <is>
          <t>supervisory</t>
        </is>
      </c>
      <c r="I84" s="22" t="inlineStr">
        <is>
          <t>unverified</t>
        </is>
      </c>
      <c r="J84" s="21" t="inlineStr">
        <is>
          <t>Consolidated</t>
        </is>
      </c>
      <c r="K84" s="20" t="inlineStr">
        <is>
          <t>MERGE+CANONICALIZE_DEFINITION+RESOLVE_CROSS_REFERENCE</t>
        </is>
      </c>
      <c r="L84" s="20" t="inlineStr">
        <is>
          <t>T13</t>
        </is>
      </c>
      <c r="M84" s="20" t="inlineStr">
        <is>
          <t>One enterprise information-security program approval; single incident standard</t>
        </is>
      </c>
    </row>
    <row r="85" ht="23.85" customHeight="1" s="14">
      <c r="A85" s="20" t="inlineStr">
        <is>
          <t>s:CYB-02</t>
        </is>
      </c>
      <c r="B85" s="20" t="inlineStr">
        <is>
          <t>Information security &amp; cybersecurity</t>
        </is>
      </c>
      <c r="C85" s="20" t="inlineStr">
        <is>
          <t>Board should reasonably understand the business case for information security and the business implications of informati</t>
        </is>
      </c>
      <c r="D85" s="20" t="inlineStr">
        <is>
          <t>Sec. I.B</t>
        </is>
      </c>
      <c r="E85" s="20" t="inlineStr">
        <is>
          <t>manual</t>
        </is>
      </c>
      <c r="F85" s="20" t="inlineStr">
        <is>
          <t>both</t>
        </is>
      </c>
      <c r="G85" s="20" t="inlineStr">
        <is>
          <t>Full board</t>
        </is>
      </c>
      <c r="H85" s="20" t="inlineStr">
        <is>
          <t>supervisory</t>
        </is>
      </c>
      <c r="I85" s="22" t="inlineStr">
        <is>
          <t>unverified</t>
        </is>
      </c>
      <c r="J85" s="21" t="inlineStr">
        <is>
          <t>Consolidated</t>
        </is>
      </c>
      <c r="K85" s="20" t="inlineStr">
        <is>
          <t>MERGE+CANONICALIZE_DEFINITION+RESOLVE_CROSS_REFERENCE</t>
        </is>
      </c>
      <c r="L85" s="20" t="inlineStr">
        <is>
          <t>T13</t>
        </is>
      </c>
      <c r="M85" s="20" t="inlineStr">
        <is>
          <t>One enterprise information-security program approval; single incident standard</t>
        </is>
      </c>
    </row>
    <row r="86" ht="23.85" customHeight="1" s="14">
      <c r="A86" s="20" t="inlineStr">
        <is>
          <t>s:CYB-03</t>
        </is>
      </c>
      <c r="B86" s="20" t="inlineStr">
        <is>
          <t>Information security &amp; cybersecurity</t>
        </is>
      </c>
      <c r="C86" s="20" t="inlineStr">
        <is>
          <t>Board oversees the institution's IT activities and governance, including approving the IT strategic plan, aligning IT wi</t>
        </is>
      </c>
      <c r="D86" s="20" t="inlineStr">
        <is>
          <t>Sec. I.A.1 (Board of Directors Oversight)</t>
        </is>
      </c>
      <c r="E86" s="20" t="inlineStr">
        <is>
          <t>manual</t>
        </is>
      </c>
      <c r="F86" s="20" t="inlineStr">
        <is>
          <t>both</t>
        </is>
      </c>
      <c r="G86" s="20" t="inlineStr">
        <is>
          <t>Full board (committee delegation permitted)</t>
        </is>
      </c>
      <c r="H86" s="20" t="inlineStr">
        <is>
          <t>supervisory</t>
        </is>
      </c>
      <c r="I86" s="22" t="inlineStr">
        <is>
          <t>unverified</t>
        </is>
      </c>
      <c r="J86" s="21" t="inlineStr">
        <is>
          <t>Consolidated</t>
        </is>
      </c>
      <c r="K86" s="20" t="inlineStr">
        <is>
          <t>MERGE+CANONICALIZE_DEFINITION+RESOLVE_CROSS_REFERENCE</t>
        </is>
      </c>
      <c r="L86" s="20" t="inlineStr">
        <is>
          <t>T13</t>
        </is>
      </c>
      <c r="M86" s="20" t="inlineStr">
        <is>
          <t>One enterprise information-security program approval; single incident standard</t>
        </is>
      </c>
    </row>
    <row r="87" ht="35.05" customHeight="1" s="14">
      <c r="A87" s="20" t="inlineStr">
        <is>
          <t>s:CYB-04</t>
        </is>
      </c>
      <c r="B87" s="20" t="inlineStr">
        <is>
          <t>Information security &amp; cybersecurity</t>
        </is>
      </c>
      <c r="C87" s="20" t="inlineStr">
        <is>
          <t>Board or an appropriate committee of the board shall approve the bank's written information security program and oversee</t>
        </is>
      </c>
      <c r="D87" s="20" t="inlineStr">
        <is>
          <t>App. B, sec. III.A (Involve the Board of Directors)</t>
        </is>
      </c>
      <c r="E87" s="20" t="inlineStr">
        <is>
          <t>regulation</t>
        </is>
      </c>
      <c r="F87" s="20" t="inlineStr">
        <is>
          <t>both</t>
        </is>
      </c>
      <c r="G87" s="20" t="inlineStr">
        <is>
          <t>Full board or appropriate committee</t>
        </is>
      </c>
      <c r="H87" s="20" t="inlineStr">
        <is>
          <t>supervisory</t>
        </is>
      </c>
      <c r="I87" s="20" t="inlineStr">
        <is>
          <t>verified</t>
        </is>
      </c>
      <c r="J87" s="21" t="inlineStr">
        <is>
          <t>Consolidated</t>
        </is>
      </c>
      <c r="K87" s="20" t="inlineStr">
        <is>
          <t>MERGE+CANONICALIZE_DEFINITION+RESOLVE_CROSS_REFERENCE</t>
        </is>
      </c>
      <c r="L87" s="20" t="inlineStr">
        <is>
          <t>T13</t>
        </is>
      </c>
      <c r="M87" s="20" t="inlineStr">
        <is>
          <t>One enterprise information-security program approval; single incident standard</t>
        </is>
      </c>
    </row>
    <row r="88" ht="35.05" customHeight="1" s="14">
      <c r="A88" s="20" t="inlineStr">
        <is>
          <t>s:CYB-05</t>
        </is>
      </c>
      <c r="B88" s="20" t="inlineStr">
        <is>
          <t>Information security &amp; cybersecurity</t>
        </is>
      </c>
      <c r="C88" s="20" t="inlineStr">
        <is>
          <t xml:space="preserve">Each bank shall report to its board or an appropriate committee at least annually, describing the overall status of the </t>
        </is>
      </c>
      <c r="D88" s="20" t="inlineStr">
        <is>
          <t>App. B, sec. III.F (Report to the Board)</t>
        </is>
      </c>
      <c r="E88" s="20" t="inlineStr">
        <is>
          <t>regulation</t>
        </is>
      </c>
      <c r="F88" s="20" t="inlineStr">
        <is>
          <t>both</t>
        </is>
      </c>
      <c r="G88" s="20" t="inlineStr">
        <is>
          <t>Full board or appropriate committee</t>
        </is>
      </c>
      <c r="H88" s="20" t="inlineStr">
        <is>
          <t>supervisory</t>
        </is>
      </c>
      <c r="I88" s="20" t="inlineStr">
        <is>
          <t>verified</t>
        </is>
      </c>
      <c r="J88" s="21" t="inlineStr">
        <is>
          <t>Consolidated</t>
        </is>
      </c>
      <c r="K88" s="20" t="inlineStr">
        <is>
          <t>MERGE+CANONICALIZE_DEFINITION+RESOLVE_CROSS_REFERENCE</t>
        </is>
      </c>
      <c r="L88" s="20" t="inlineStr">
        <is>
          <t>T13</t>
        </is>
      </c>
      <c r="M88" s="20" t="inlineStr">
        <is>
          <t>One enterprise information-security program approval; single incident standard</t>
        </is>
      </c>
    </row>
    <row r="89" ht="35.05" customHeight="1" s="14">
      <c r="A89" s="20" t="inlineStr">
        <is>
          <t>s:CYB-06</t>
        </is>
      </c>
      <c r="B89" s="20" t="inlineStr">
        <is>
          <t>Information security &amp; cybersecurity</t>
        </is>
      </c>
      <c r="C89" s="20" t="inlineStr">
        <is>
          <t>Entity-level duty to notify the primary federal regulator within 36 hours of a 'notification incident.' No direct board-</t>
        </is>
      </c>
      <c r="D89" s="20" t="inlineStr">
        <is>
          <t>Final rule</t>
        </is>
      </c>
      <c r="E89" s="20" t="inlineStr">
        <is>
          <t>guidance</t>
        </is>
      </c>
      <c r="F89" s="20" t="inlineStr">
        <is>
          <t>both</t>
        </is>
      </c>
      <c r="G89" s="20" t="inlineStr">
        <is>
          <t>Entity-level (board-relevant via oversight)</t>
        </is>
      </c>
      <c r="H89" s="20" t="inlineStr">
        <is>
          <t>supervisory</t>
        </is>
      </c>
      <c r="I89" s="22" t="inlineStr">
        <is>
          <t>unverified</t>
        </is>
      </c>
      <c r="J89" s="21" t="inlineStr">
        <is>
          <t>Consolidated</t>
        </is>
      </c>
      <c r="K89" s="20" t="inlineStr">
        <is>
          <t>MERGE+CANONICALIZE_DEFINITION+RESOLVE_CROSS_REFERENCE</t>
        </is>
      </c>
      <c r="L89" s="20" t="inlineStr">
        <is>
          <t>T13</t>
        </is>
      </c>
      <c r="M89" s="20" t="inlineStr">
        <is>
          <t>One enterprise information-security program approval; single incident standard</t>
        </is>
      </c>
    </row>
    <row r="90" ht="35.05" customHeight="1" s="14">
      <c r="A90" s="20" t="inlineStr">
        <is>
          <t>s:CYB-07</t>
        </is>
      </c>
      <c r="B90" s="20" t="inlineStr">
        <is>
          <t>Information security &amp; cybersecurity</t>
        </is>
      </c>
      <c r="C90" s="20" t="inlineStr">
        <is>
          <t>RETIRED: The CAT was sunset on Aug. 31, 2025; any board-level expectation premised on CAT completion or CAT-based report</t>
        </is>
      </c>
      <c r="D90" s="20" t="inlineStr">
        <is>
          <t>Sunset announcement (FFIEC, Aug. 29, 2024; SR 24-7; OCC Bulletin 2024-25)</t>
        </is>
      </c>
      <c r="E90" s="20" t="inlineStr">
        <is>
          <t>guidance</t>
        </is>
      </c>
      <c r="F90" s="20" t="inlineStr">
        <is>
          <t>both</t>
        </is>
      </c>
      <c r="G90" s="20" t="inlineStr">
        <is>
          <t>n/a (retired)</t>
        </is>
      </c>
      <c r="H90" s="20" t="inlineStr">
        <is>
          <t>supervisory</t>
        </is>
      </c>
      <c r="I90" s="20" t="inlineStr">
        <is>
          <t>verified</t>
        </is>
      </c>
      <c r="J90" s="21" t="inlineStr">
        <is>
          <t>Consolidated</t>
        </is>
      </c>
      <c r="K90" s="20" t="inlineStr">
        <is>
          <t>MERGE+CANONICALIZE_DEFINITION+RESOLVE_CROSS_REFERENCE</t>
        </is>
      </c>
      <c r="L90" s="20" t="inlineStr">
        <is>
          <t>T13</t>
        </is>
      </c>
      <c r="M90" s="20" t="inlineStr">
        <is>
          <t>One enterprise information-security program approval; single incident standard</t>
        </is>
      </c>
    </row>
    <row r="91" ht="23.85" customHeight="1" s="14">
      <c r="A91" s="20" t="inlineStr">
        <is>
          <t>s:CYB-08</t>
        </is>
      </c>
      <c r="B91" s="20" t="inlineStr">
        <is>
          <t>Information security &amp; cybersecurity</t>
        </is>
      </c>
      <c r="C91" s="20" t="inlineStr">
        <is>
          <t>Board should ensure management provides sufficient resources, expertise, and authority to implement and maintain the inf</t>
        </is>
      </c>
      <c r="D91" s="20" t="inlineStr">
        <is>
          <t>Governance / resources sections</t>
        </is>
      </c>
      <c r="E91" s="20" t="inlineStr">
        <is>
          <t>manual</t>
        </is>
      </c>
      <c r="F91" s="20" t="inlineStr">
        <is>
          <t>both</t>
        </is>
      </c>
      <c r="G91" s="20" t="inlineStr">
        <is>
          <t>Full board</t>
        </is>
      </c>
      <c r="H91" s="20" t="inlineStr">
        <is>
          <t>supervisory</t>
        </is>
      </c>
      <c r="I91" s="22" t="inlineStr">
        <is>
          <t>unverified</t>
        </is>
      </c>
      <c r="J91" s="21" t="inlineStr">
        <is>
          <t>Consolidated</t>
        </is>
      </c>
      <c r="K91" s="20" t="inlineStr">
        <is>
          <t>MERGE+CANONICALIZE_DEFINITION+RESOLVE_CROSS_REFERENCE</t>
        </is>
      </c>
      <c r="L91" s="20" t="inlineStr">
        <is>
          <t>T13</t>
        </is>
      </c>
      <c r="M91" s="20" t="inlineStr">
        <is>
          <t>One enterprise information-security program approval; single incident standard</t>
        </is>
      </c>
    </row>
    <row r="92" ht="23.85" customHeight="1" s="14">
      <c r="A92" s="20" t="inlineStr">
        <is>
          <t>s:TPR-01</t>
        </is>
      </c>
      <c r="B92" s="20" t="inlineStr">
        <is>
          <t>Third-party risk management</t>
        </is>
      </c>
      <c r="C92" s="20" t="inlineStr">
        <is>
          <t>Board has ultimate responsibility for providing oversight of third-party risk management and holding management accounta</t>
        </is>
      </c>
      <c r="D92" s="20" t="inlineStr">
        <is>
          <t>Sec. D.1 (Oversight and Accountability), p. 20</t>
        </is>
      </c>
      <c r="E92" s="20" t="inlineStr">
        <is>
          <t>guidance</t>
        </is>
      </c>
      <c r="F92" s="20" t="inlineStr">
        <is>
          <t>both</t>
        </is>
      </c>
      <c r="G92" s="20" t="inlineStr">
        <is>
          <t>Full board (committee may be designated)</t>
        </is>
      </c>
      <c r="H92" s="20" t="inlineStr">
        <is>
          <t>supervisory</t>
        </is>
      </c>
      <c r="I92" s="20" t="inlineStr">
        <is>
          <t>verified</t>
        </is>
      </c>
      <c r="J92" s="21" t="inlineStr">
        <is>
          <t>Consolidated</t>
        </is>
      </c>
      <c r="K92" s="20" t="inlineStr">
        <is>
          <t>DEFINE_TERM+SPLIT+ASSIGN_DUTY_PARAMETER+FACTOR_EXCEPTION</t>
        </is>
      </c>
      <c r="L92" s="20" t="inlineStr">
        <is>
          <t>T14</t>
        </is>
      </c>
      <c r="M92" s="20" t="inlineStr">
        <is>
          <t>Third-party oversight above quantitative critical-activity threshold</t>
        </is>
      </c>
    </row>
    <row r="93" ht="35.05" customHeight="1" s="14">
      <c r="A93" s="20" t="inlineStr">
        <is>
          <t>s:TPR-02</t>
        </is>
      </c>
      <c r="B93" s="20" t="inlineStr">
        <is>
          <t>Third-party risk management</t>
        </is>
      </c>
      <c r="C93" s="20" t="inlineStr">
        <is>
          <t>Board (or a designated board committee) typically considers whether third-party relationships align with strategic goals</t>
        </is>
      </c>
      <c r="D93" s="20" t="inlineStr">
        <is>
          <t>Sec. D.1, p. 20</t>
        </is>
      </c>
      <c r="E93" s="20" t="inlineStr">
        <is>
          <t>guidance</t>
        </is>
      </c>
      <c r="F93" s="20" t="inlineStr">
        <is>
          <t>both</t>
        </is>
      </c>
      <c r="G93" s="20" t="inlineStr">
        <is>
          <t>Full board or designated board committee</t>
        </is>
      </c>
      <c r="H93" s="20" t="inlineStr">
        <is>
          <t>supervisory</t>
        </is>
      </c>
      <c r="I93" s="20" t="inlineStr">
        <is>
          <t>verified</t>
        </is>
      </c>
      <c r="J93" s="21" t="inlineStr">
        <is>
          <t>Consolidated</t>
        </is>
      </c>
      <c r="K93" s="20" t="inlineStr">
        <is>
          <t>DEFINE_TERM+SPLIT+ASSIGN_DUTY_PARAMETER+FACTOR_EXCEPTION</t>
        </is>
      </c>
      <c r="L93" s="20" t="inlineStr">
        <is>
          <t>T14</t>
        </is>
      </c>
      <c r="M93" s="20" t="inlineStr">
        <is>
          <t>Third-party oversight above quantitative critical-activity threshold</t>
        </is>
      </c>
    </row>
    <row r="94" ht="23.85" customHeight="1" s="14">
      <c r="A94" s="20" t="inlineStr">
        <is>
          <t>s:TPR-03</t>
        </is>
      </c>
      <c r="B94" s="20" t="inlineStr">
        <is>
          <t>Third-party risk management</t>
        </is>
      </c>
      <c r="C94" s="20" t="inlineStr">
        <is>
          <t>As part of oversight, the board should be aware of and, as appropriate, may approve or delegate approval of contracts in</t>
        </is>
      </c>
      <c r="D94" s="20" t="inlineStr">
        <is>
          <t>Sec. C.3 (Contract Negotiation), p. 11</t>
        </is>
      </c>
      <c r="E94" s="20" t="inlineStr">
        <is>
          <t>guidance</t>
        </is>
      </c>
      <c r="F94" s="20" t="inlineStr">
        <is>
          <t>both</t>
        </is>
      </c>
      <c r="G94" s="20" t="inlineStr">
        <is>
          <t>Full board (delegation permitted)</t>
        </is>
      </c>
      <c r="H94" s="20" t="inlineStr">
        <is>
          <t>supervisory</t>
        </is>
      </c>
      <c r="I94" s="20" t="inlineStr">
        <is>
          <t>verified</t>
        </is>
      </c>
      <c r="J94" s="21" t="inlineStr">
        <is>
          <t>Consolidated</t>
        </is>
      </c>
      <c r="K94" s="20" t="inlineStr">
        <is>
          <t>DEFINE_TERM+SPLIT+ASSIGN_DUTY_PARAMETER+FACTOR_EXCEPTION</t>
        </is>
      </c>
      <c r="L94" s="20" t="inlineStr">
        <is>
          <t>T14</t>
        </is>
      </c>
      <c r="M94" s="20" t="inlineStr">
        <is>
          <t>Third-party oversight above quantitative critical-activity threshold</t>
        </is>
      </c>
    </row>
    <row r="95" ht="35.05" customHeight="1" s="14">
      <c r="A95" s="20" t="inlineStr">
        <is>
          <t>s:TPR-04</t>
        </is>
      </c>
      <c r="B95" s="20" t="inlineStr">
        <is>
          <t>Third-party risk management</t>
        </is>
      </c>
      <c r="C95" s="20" t="inlineStr">
        <is>
          <t>When critical activities are involved, plans may be presented to and approved by the board of directors (or a designated</t>
        </is>
      </c>
      <c r="D95" s="20" t="inlineStr">
        <is>
          <t>Sec. C.1 (Planning), p. 4</t>
        </is>
      </c>
      <c r="E95" s="20" t="inlineStr">
        <is>
          <t>guidance</t>
        </is>
      </c>
      <c r="F95" s="20" t="inlineStr">
        <is>
          <t>both</t>
        </is>
      </c>
      <c r="G95" s="20" t="inlineStr">
        <is>
          <t>Full board or designated committee</t>
        </is>
      </c>
      <c r="H95" s="20" t="inlineStr">
        <is>
          <t>supervisory</t>
        </is>
      </c>
      <c r="I95" s="20" t="inlineStr">
        <is>
          <t>verified</t>
        </is>
      </c>
      <c r="J95" s="21" t="inlineStr">
        <is>
          <t>Consolidated</t>
        </is>
      </c>
      <c r="K95" s="20" t="inlineStr">
        <is>
          <t>DEFINE_TERM+SPLIT+ASSIGN_DUTY_PARAMETER+FACTOR_EXCEPTION</t>
        </is>
      </c>
      <c r="L95" s="20" t="inlineStr">
        <is>
          <t>T14</t>
        </is>
      </c>
      <c r="M95" s="20" t="inlineStr">
        <is>
          <t>Third-party oversight above quantitative critical-activity threshold</t>
        </is>
      </c>
    </row>
    <row r="96" ht="23.85" customHeight="1" s="14">
      <c r="A96" s="20" t="inlineStr">
        <is>
          <t>s:TPR-05</t>
        </is>
      </c>
      <c r="B96" s="20" t="inlineStr">
        <is>
          <t>Third-party risk management</t>
        </is>
      </c>
      <c r="C96" s="20" t="inlineStr">
        <is>
          <t>Management escalates significant issues to the board and monitors resulting remediation; independent-review issues are e</t>
        </is>
      </c>
      <c r="D96" s="20" t="inlineStr">
        <is>
          <t>Secs. D.1 and D.2 (Independent Reviews), pp. 21-22</t>
        </is>
      </c>
      <c r="E96" s="20" t="inlineStr">
        <is>
          <t>guidance</t>
        </is>
      </c>
      <c r="F96" s="20" t="inlineStr">
        <is>
          <t>both</t>
        </is>
      </c>
      <c r="G96" s="20" t="inlineStr">
        <is>
          <t>Full board (escalation recipient)</t>
        </is>
      </c>
      <c r="H96" s="20" t="inlineStr">
        <is>
          <t>supervisory</t>
        </is>
      </c>
      <c r="I96" s="22" t="inlineStr">
        <is>
          <t>unverified</t>
        </is>
      </c>
      <c r="J96" s="21" t="inlineStr">
        <is>
          <t>Consolidated</t>
        </is>
      </c>
      <c r="K96" s="20" t="inlineStr">
        <is>
          <t>DEFINE_TERM+SPLIT+ASSIGN_DUTY_PARAMETER+FACTOR_EXCEPTION</t>
        </is>
      </c>
      <c r="L96" s="20" t="inlineStr">
        <is>
          <t>T14</t>
        </is>
      </c>
      <c r="M96" s="20" t="inlineStr">
        <is>
          <t>Third-party oversight above quantitative critical-activity threshold</t>
        </is>
      </c>
    </row>
    <row r="97" ht="35.05" customHeight="1" s="14">
      <c r="A97" s="20" t="inlineStr">
        <is>
          <t>s:TPR-06</t>
        </is>
      </c>
      <c r="B97" s="20" t="inlineStr">
        <is>
          <t>Third-party risk management</t>
        </is>
      </c>
      <c r="C97" s="20" t="inlineStr">
        <is>
          <t>Documentation and reporting should support board oversight, including reporting on dependency on a single third party fo</t>
        </is>
      </c>
      <c r="D97" s="20" t="inlineStr">
        <is>
          <t>Sec. D (local ll. ~1092-1124)</t>
        </is>
      </c>
      <c r="E97" s="20" t="inlineStr">
        <is>
          <t>guidance</t>
        </is>
      </c>
      <c r="F97" s="20" t="inlineStr">
        <is>
          <t>both</t>
        </is>
      </c>
      <c r="G97" s="20" t="inlineStr">
        <is>
          <t>Full board or designated committee</t>
        </is>
      </c>
      <c r="H97" s="20" t="inlineStr">
        <is>
          <t>supervisory</t>
        </is>
      </c>
      <c r="I97" s="20" t="inlineStr">
        <is>
          <t>verified</t>
        </is>
      </c>
      <c r="J97" s="21" t="inlineStr">
        <is>
          <t>Consolidated</t>
        </is>
      </c>
      <c r="K97" s="20" t="inlineStr">
        <is>
          <t>DEFINE_TERM+SPLIT+ASSIGN_DUTY_PARAMETER+FACTOR_EXCEPTION</t>
        </is>
      </c>
      <c r="L97" s="20" t="inlineStr">
        <is>
          <t>T14</t>
        </is>
      </c>
      <c r="M97" s="20" t="inlineStr">
        <is>
          <t>Third-party oversight above quantitative critical-activity threshold</t>
        </is>
      </c>
    </row>
    <row r="98" ht="23.85" customHeight="1" s="14">
      <c r="A98" s="20" t="inlineStr">
        <is>
          <t>s:TPR-07</t>
        </is>
      </c>
      <c r="B98" s="20" t="inlineStr">
        <is>
          <t>Third-party risk management</t>
        </is>
      </c>
      <c r="C98" s="20" t="inlineStr">
        <is>
          <t>Board and management should conduct ongoing due diligence and oversight of service providers — including their policies,</t>
        </is>
      </c>
      <c r="D98" s="20" t="inlineStr">
        <is>
          <t>CMR service-provider oversight (local ll. ~2921-2944)</t>
        </is>
      </c>
      <c r="E98" s="20" t="inlineStr">
        <is>
          <t>guidance</t>
        </is>
      </c>
      <c r="F98" s="20" t="inlineStr">
        <is>
          <t>IDI</t>
        </is>
      </c>
      <c r="G98" s="20" t="inlineStr">
        <is>
          <t>Full board; management</t>
        </is>
      </c>
      <c r="H98" s="20" t="inlineStr">
        <is>
          <t>supervisory</t>
        </is>
      </c>
      <c r="I98" s="22" t="inlineStr">
        <is>
          <t>unverified</t>
        </is>
      </c>
      <c r="J98" s="21" t="inlineStr">
        <is>
          <t>Consolidated</t>
        </is>
      </c>
      <c r="K98" s="20" t="inlineStr">
        <is>
          <t>DEFINE_TERM+SPLIT+ASSIGN_DUTY_PARAMETER+FACTOR_EXCEPTION</t>
        </is>
      </c>
      <c r="L98" s="20" t="inlineStr">
        <is>
          <t>T14</t>
        </is>
      </c>
      <c r="M98" s="20" t="inlineStr">
        <is>
          <t>Third-party oversight above quantitative critical-activity threshold</t>
        </is>
      </c>
    </row>
    <row r="99" ht="35.05" customHeight="1" s="14">
      <c r="A99" s="20" t="inlineStr">
        <is>
          <t>s:MOD-01</t>
        </is>
      </c>
      <c r="B99" s="20" t="inlineStr">
        <is>
          <t>Model risk governance</t>
        </is>
      </c>
      <c r="C99" s="20" t="inlineStr">
        <is>
          <t>CURRENT STANDARD: model governance is supported by clear policies and effective controls, with delineated roles, respons</t>
        </is>
      </c>
      <c r="D99" s="20" t="inlineStr">
        <is>
          <t>Sec. VI (Governance and Controls)</t>
        </is>
      </c>
      <c r="E99" s="20" t="inlineStr">
        <is>
          <t>guidance</t>
        </is>
      </c>
      <c r="F99" s="20" t="inlineStr">
        <is>
          <t>both</t>
        </is>
      </c>
      <c r="G99" s="20" t="inlineStr">
        <is>
          <t>Not specified (institution's allocation)</t>
        </is>
      </c>
      <c r="H99" s="20" t="inlineStr">
        <is>
          <t>supervisory</t>
        </is>
      </c>
      <c r="I99" s="22" t="inlineStr">
        <is>
          <t>unverified</t>
        </is>
      </c>
      <c r="J99" s="24" t="inlineStr">
        <is>
          <t>Folded</t>
        </is>
      </c>
      <c r="K99" s="20" t="inlineStr">
        <is>
          <t>per-cluster package</t>
        </is>
      </c>
      <c r="L99" s="20" t="inlineStr">
        <is>
          <t>T16</t>
        </is>
      </c>
      <c r="M99" s="20" t="inlineStr">
        <is>
          <t>Model-risk framework via General-Part approval mechanic (G1)</t>
        </is>
      </c>
    </row>
    <row r="100" ht="35.05" customHeight="1" s="14">
      <c r="A100" s="20" t="inlineStr">
        <is>
          <t>s:MOD-02</t>
        </is>
      </c>
      <c r="B100" s="20" t="inlineStr">
        <is>
          <t>Model risk governance</t>
        </is>
      </c>
      <c r="C100" s="20" t="inlineStr">
        <is>
          <t>SUPERSEDED: Board and senior management established a bank-wide model-risk-management framework and set tone; board ensu</t>
        </is>
      </c>
      <c r="D100" s="20" t="inlineStr">
        <is>
          <t>Governance, Policies, and Controls (Board of Directors and Senior Management)</t>
        </is>
      </c>
      <c r="E100" s="20" t="inlineStr">
        <is>
          <t>guidance</t>
        </is>
      </c>
      <c r="F100" s="20" t="inlineStr">
        <is>
          <t>both</t>
        </is>
      </c>
      <c r="G100" s="20" t="inlineStr">
        <is>
          <t>Full board (superseded)</t>
        </is>
      </c>
      <c r="H100" s="20" t="inlineStr">
        <is>
          <t>supervisory</t>
        </is>
      </c>
      <c r="I100" s="22" t="inlineStr">
        <is>
          <t>unverified</t>
        </is>
      </c>
      <c r="J100" s="24" t="inlineStr">
        <is>
          <t>Folded</t>
        </is>
      </c>
      <c r="K100" s="20" t="inlineStr">
        <is>
          <t>per-cluster package</t>
        </is>
      </c>
      <c r="L100" s="20" t="inlineStr">
        <is>
          <t>T16</t>
        </is>
      </c>
      <c r="M100" s="20" t="inlineStr">
        <is>
          <t>Model-risk framework via General-Part approval mechanic (G1)</t>
        </is>
      </c>
    </row>
    <row r="101" ht="23.85" customHeight="1" s="14">
      <c r="A101" s="20" t="inlineStr">
        <is>
          <t>b:BSA-01</t>
        </is>
      </c>
      <c r="B101" s="20" t="inlineStr">
        <is>
          <t>BSA/AML program</t>
        </is>
      </c>
      <c r="C101" s="20" t="inlineStr">
        <is>
          <t>Board must approve a written BSA/AML compliance program, with approval noted in the minutes.</t>
        </is>
      </c>
      <c r="D101" s="20" t="inlineStr">
        <is>
          <t>31 CFR 1010.210 / 1020.210; 12 CFR 21.21, 208.63, 326.8</t>
        </is>
      </c>
      <c r="E101" s="20" t="inlineStr">
        <is>
          <t>regulation</t>
        </is>
      </c>
      <c r="F101" s="20" t="inlineStr">
        <is>
          <t>both</t>
        </is>
      </c>
      <c r="G101" s="20" t="inlineStr">
        <is>
          <t>Full board</t>
        </is>
      </c>
      <c r="H101" s="20" t="inlineStr">
        <is>
          <t>binding</t>
        </is>
      </c>
      <c r="I101" s="20" t="inlineStr">
        <is>
          <t>verified</t>
        </is>
      </c>
      <c r="J101" s="23" t="inlineStr">
        <is>
          <t>Retained</t>
        </is>
      </c>
      <c r="K101" s="20" t="inlineStr">
        <is>
          <t>per-cluster package</t>
        </is>
      </c>
      <c r="L101" s="20" t="inlineStr">
        <is>
          <t>T17</t>
        </is>
      </c>
      <c r="M101" s="20" t="inlineStr">
        <is>
          <t>BSA/AML program approval retained; manual cross-references the rule</t>
        </is>
      </c>
    </row>
    <row r="102" ht="23.85" customHeight="1" s="14">
      <c r="A102" s="20" t="inlineStr">
        <is>
          <t>b:BSA-02</t>
        </is>
      </c>
      <c r="B102" s="20" t="inlineStr">
        <is>
          <t>BSA/AML program</t>
        </is>
      </c>
      <c r="C102" s="20" t="inlineStr">
        <is>
          <t>Board must designate a qualified BSA/AML compliance officer with appropriate authority, independence, and resources.</t>
        </is>
      </c>
      <c r="D102" s="20" t="inlineStr">
        <is>
          <t>31 CFR 1010.210(a)(2); 12 CFR 21.21(c)(3)</t>
        </is>
      </c>
      <c r="E102" s="20" t="inlineStr">
        <is>
          <t>regulation</t>
        </is>
      </c>
      <c r="F102" s="20" t="inlineStr">
        <is>
          <t>IDI</t>
        </is>
      </c>
      <c r="G102" s="20" t="inlineStr">
        <is>
          <t>Full board</t>
        </is>
      </c>
      <c r="H102" s="20" t="inlineStr">
        <is>
          <t>binding</t>
        </is>
      </c>
      <c r="I102" s="20" t="inlineStr">
        <is>
          <t>verified</t>
        </is>
      </c>
      <c r="J102" s="23" t="inlineStr">
        <is>
          <t>Retained</t>
        </is>
      </c>
      <c r="K102" s="20" t="inlineStr">
        <is>
          <t>per-cluster package</t>
        </is>
      </c>
      <c r="L102" s="20" t="inlineStr">
        <is>
          <t>T17</t>
        </is>
      </c>
      <c r="M102" s="20" t="inlineStr">
        <is>
          <t>BSA/AML program approval retained; manual cross-references the rule</t>
        </is>
      </c>
    </row>
    <row r="103" ht="35.05" customHeight="1" s="14">
      <c r="A103" s="20" t="inlineStr">
        <is>
          <t>b:BSA-03</t>
        </is>
      </c>
      <c r="B103" s="20" t="inlineStr">
        <is>
          <t>BSA/AML program</t>
        </is>
      </c>
      <c r="C103" s="20" t="inlineStr">
        <is>
          <t>Board must receive and review BSA/AML reporting, including SAR-filing notification, CTR, and risk-assessment information</t>
        </is>
      </c>
      <c r="D103" s="20" t="inlineStr">
        <is>
          <t>31 CFR 1010.210</t>
        </is>
      </c>
      <c r="E103" s="20" t="inlineStr">
        <is>
          <t>regulation</t>
        </is>
      </c>
      <c r="F103" s="20" t="inlineStr">
        <is>
          <t>IDI</t>
        </is>
      </c>
      <c r="G103" s="20" t="inlineStr">
        <is>
          <t>Full board or designated committee</t>
        </is>
      </c>
      <c r="H103" s="20" t="inlineStr">
        <is>
          <t>binding</t>
        </is>
      </c>
      <c r="I103" s="20" t="inlineStr">
        <is>
          <t>verified</t>
        </is>
      </c>
      <c r="J103" s="23" t="inlineStr">
        <is>
          <t>Retained</t>
        </is>
      </c>
      <c r="K103" s="20" t="inlineStr">
        <is>
          <t>per-cluster package</t>
        </is>
      </c>
      <c r="L103" s="20" t="inlineStr">
        <is>
          <t>T17</t>
        </is>
      </c>
      <c r="M103" s="20" t="inlineStr">
        <is>
          <t>BSA/AML program approval retained; manual cross-references the rule</t>
        </is>
      </c>
    </row>
    <row r="104" ht="15" customHeight="1" s="14">
      <c r="A104" s="20" t="inlineStr">
        <is>
          <t>b:BSA-04</t>
        </is>
      </c>
      <c r="B104" s="20" t="inlineStr">
        <is>
          <t>BSA/AML program</t>
        </is>
      </c>
      <c r="C104" s="20" t="inlineStr">
        <is>
          <t>Board must ensure independent testing of the BSA/AML program.</t>
        </is>
      </c>
      <c r="D104" s="20" t="inlineStr">
        <is>
          <t>31 CFR 1010.210(a)(5)</t>
        </is>
      </c>
      <c r="E104" s="20" t="inlineStr">
        <is>
          <t>regulation</t>
        </is>
      </c>
      <c r="F104" s="20" t="inlineStr">
        <is>
          <t>IDI</t>
        </is>
      </c>
      <c r="G104" s="20" t="inlineStr">
        <is>
          <t>Full board</t>
        </is>
      </c>
      <c r="H104" s="20" t="inlineStr">
        <is>
          <t>binding</t>
        </is>
      </c>
      <c r="I104" s="20" t="inlineStr">
        <is>
          <t>verified</t>
        </is>
      </c>
      <c r="J104" s="23" t="inlineStr">
        <is>
          <t>Retained</t>
        </is>
      </c>
      <c r="K104" s="20" t="inlineStr">
        <is>
          <t>per-cluster package</t>
        </is>
      </c>
      <c r="L104" s="20" t="inlineStr">
        <is>
          <t>T17</t>
        </is>
      </c>
      <c r="M104" s="20" t="inlineStr">
        <is>
          <t>BSA/AML program approval retained; manual cross-references the rule</t>
        </is>
      </c>
    </row>
    <row r="105" ht="23.85" customHeight="1" s="14">
      <c r="A105" s="20" t="inlineStr">
        <is>
          <t>b:BSA-05</t>
        </is>
      </c>
      <c r="B105" s="20" t="inlineStr">
        <is>
          <t>BSA/AML program</t>
        </is>
      </c>
      <c r="C105" s="20" t="inlineStr">
        <is>
          <t>Board must ensure BSA/AML training, including for directors, tailored to the risk profile.</t>
        </is>
      </c>
      <c r="D105" s="20" t="inlineStr">
        <is>
          <t>31 CFR 1010.210(a)(4)</t>
        </is>
      </c>
      <c r="E105" s="20" t="inlineStr">
        <is>
          <t>regulation</t>
        </is>
      </c>
      <c r="F105" s="20" t="inlineStr">
        <is>
          <t>IDI</t>
        </is>
      </c>
      <c r="G105" s="20" t="inlineStr">
        <is>
          <t>Full board</t>
        </is>
      </c>
      <c r="H105" s="20" t="inlineStr">
        <is>
          <t>binding</t>
        </is>
      </c>
      <c r="I105" s="20" t="inlineStr">
        <is>
          <t>verified</t>
        </is>
      </c>
      <c r="J105" s="23" t="inlineStr">
        <is>
          <t>Retained</t>
        </is>
      </c>
      <c r="K105" s="20" t="inlineStr">
        <is>
          <t>per-cluster package</t>
        </is>
      </c>
      <c r="L105" s="20" t="inlineStr">
        <is>
          <t>T17</t>
        </is>
      </c>
      <c r="M105" s="20" t="inlineStr">
        <is>
          <t>BSA/AML program approval retained; manual cross-references the rule</t>
        </is>
      </c>
    </row>
    <row r="106" ht="23.85" customHeight="1" s="14">
      <c r="A106" s="20" t="inlineStr">
        <is>
          <t>s:BSA-01</t>
        </is>
      </c>
      <c r="B106" s="20" t="inlineStr">
        <is>
          <t>BSA/AML program</t>
        </is>
      </c>
      <c r="C106" s="20" t="inlineStr">
        <is>
          <t>The BSA/AML compliance program must be written, approved by the board of directors, and noted in the board minutes; it m</t>
        </is>
      </c>
      <c r="D106" s="20" t="inlineStr">
        <is>
          <t>Introduction, para. 1 (citing 12 CFR 208.63, 326.8, 21.21, 748.2)</t>
        </is>
      </c>
      <c r="E106" s="20" t="inlineStr">
        <is>
          <t>manual</t>
        </is>
      </c>
      <c r="F106" s="20" t="inlineStr">
        <is>
          <t>both</t>
        </is>
      </c>
      <c r="G106" s="20" t="inlineStr">
        <is>
          <t>Full board (approval + minute notation)</t>
        </is>
      </c>
      <c r="H106" s="20" t="inlineStr">
        <is>
          <t>supervisory</t>
        </is>
      </c>
      <c r="I106" s="20" t="inlineStr">
        <is>
          <t>verified</t>
        </is>
      </c>
      <c r="J106" s="23" t="inlineStr">
        <is>
          <t>Retained</t>
        </is>
      </c>
      <c r="K106" s="20" t="inlineStr">
        <is>
          <t>per-cluster package</t>
        </is>
      </c>
      <c r="L106" s="20" t="inlineStr">
        <is>
          <t>T17</t>
        </is>
      </c>
      <c r="M106" s="20" t="inlineStr">
        <is>
          <t>BSA/AML program approval retained; manual cross-references the rule</t>
        </is>
      </c>
    </row>
    <row r="107" ht="35.05" customHeight="1" s="14">
      <c r="A107" s="20" t="inlineStr">
        <is>
          <t>s:BSA-02</t>
        </is>
      </c>
      <c r="B107" s="20" t="inlineStr">
        <is>
          <t>BSA/AML program</t>
        </is>
      </c>
      <c r="C107" s="20" t="inlineStr">
        <is>
          <t xml:space="preserve">Board, acting through senior management, is ultimately responsible for ensuring the bank maintains a system of internal </t>
        </is>
      </c>
      <c r="D107" s="20" t="inlineStr">
        <is>
          <t>Internal Controls, para. 1 (citing 12 CFR 208.63(c)(1), etc.)</t>
        </is>
      </c>
      <c r="E107" s="20" t="inlineStr">
        <is>
          <t>manual</t>
        </is>
      </c>
      <c r="F107" s="20" t="inlineStr">
        <is>
          <t>both</t>
        </is>
      </c>
      <c r="G107" s="20" t="inlineStr">
        <is>
          <t>Full board (acting through senior management)</t>
        </is>
      </c>
      <c r="H107" s="20" t="inlineStr">
        <is>
          <t>supervisory</t>
        </is>
      </c>
      <c r="I107" s="20" t="inlineStr">
        <is>
          <t>verified</t>
        </is>
      </c>
      <c r="J107" s="23" t="inlineStr">
        <is>
          <t>Retained</t>
        </is>
      </c>
      <c r="K107" s="20" t="inlineStr">
        <is>
          <t>per-cluster package</t>
        </is>
      </c>
      <c r="L107" s="20" t="inlineStr">
        <is>
          <t>T17</t>
        </is>
      </c>
      <c r="M107" s="20" t="inlineStr">
        <is>
          <t>BSA/AML program approval retained; manual cross-references the rule</t>
        </is>
      </c>
    </row>
    <row r="108" ht="57.45" customHeight="1" s="14">
      <c r="A108" s="20" t="inlineStr">
        <is>
          <t>s:BSA-03</t>
        </is>
      </c>
      <c r="B108" s="20" t="inlineStr">
        <is>
          <t>BSA/AML program</t>
        </is>
      </c>
      <c r="C108" s="20" t="inlineStr">
        <is>
          <t>Internal controls should include mechanisms to identify and inform the board, or a committee thereof, and senior managem</t>
        </is>
      </c>
      <c r="D108" s="20" t="inlineStr">
        <is>
          <t>Internal Controls, bulleted control expectations</t>
        </is>
      </c>
      <c r="E108" s="20" t="inlineStr">
        <is>
          <t>manual</t>
        </is>
      </c>
      <c r="F108" s="20" t="inlineStr">
        <is>
          <t>both</t>
        </is>
      </c>
      <c r="G108" s="20" t="inlineStr">
        <is>
          <t>Full board or committee (general reporting); full board (SAR-filing notification)</t>
        </is>
      </c>
      <c r="H108" s="20" t="inlineStr">
        <is>
          <t>supervisory</t>
        </is>
      </c>
      <c r="I108" s="22" t="inlineStr">
        <is>
          <t>unverified</t>
        </is>
      </c>
      <c r="J108" s="23" t="inlineStr">
        <is>
          <t>Retained</t>
        </is>
      </c>
      <c r="K108" s="20" t="inlineStr">
        <is>
          <t>per-cluster package</t>
        </is>
      </c>
      <c r="L108" s="20" t="inlineStr">
        <is>
          <t>T17</t>
        </is>
      </c>
      <c r="M108" s="20" t="inlineStr">
        <is>
          <t>BSA/AML program approval retained; manual cross-references the rule</t>
        </is>
      </c>
    </row>
    <row r="109" ht="35.05" customHeight="1" s="14">
      <c r="A109" s="20" t="inlineStr">
        <is>
          <t>s:BSA-04</t>
        </is>
      </c>
      <c r="B109" s="20" t="inlineStr">
        <is>
          <t>BSA/AML program</t>
        </is>
      </c>
      <c r="C109" s="20" t="inlineStr">
        <is>
          <t>Board must designate a qualified individual or individuals to serve as the BSA compliance officer, and is responsible fo</t>
        </is>
      </c>
      <c r="D109" s="20" t="inlineStr">
        <is>
          <t>BSA Compliance Officer, Objective + para. 1 (citing 12 CFR 208.63(c)(3), etc.)</t>
        </is>
      </c>
      <c r="E109" s="20" t="inlineStr">
        <is>
          <t>manual</t>
        </is>
      </c>
      <c r="F109" s="20" t="inlineStr">
        <is>
          <t>both</t>
        </is>
      </c>
      <c r="G109" s="20" t="inlineStr">
        <is>
          <t>Full board</t>
        </is>
      </c>
      <c r="H109" s="20" t="inlineStr">
        <is>
          <t>supervisory</t>
        </is>
      </c>
      <c r="I109" s="20" t="inlineStr">
        <is>
          <t>verified</t>
        </is>
      </c>
      <c r="J109" s="23" t="inlineStr">
        <is>
          <t>Retained</t>
        </is>
      </c>
      <c r="K109" s="20" t="inlineStr">
        <is>
          <t>per-cluster package</t>
        </is>
      </c>
      <c r="L109" s="20" t="inlineStr">
        <is>
          <t>T17</t>
        </is>
      </c>
      <c r="M109" s="20" t="inlineStr">
        <is>
          <t>BSA/AML program approval retained; manual cross-references the rule</t>
        </is>
      </c>
    </row>
    <row r="110" ht="23.85" customHeight="1" s="14">
      <c r="A110" s="20" t="inlineStr">
        <is>
          <t>s:BSA-05</t>
        </is>
      </c>
      <c r="B110" s="20" t="inlineStr">
        <is>
          <t>BSA/AML program</t>
        </is>
      </c>
      <c r="C110" s="20" t="inlineStr">
        <is>
          <t xml:space="preserve">Board is ultimately responsible for the bank's BSA/AML compliance and should provide oversight of senior management and </t>
        </is>
      </c>
      <c r="D110" s="20" t="inlineStr">
        <is>
          <t>BSA Compliance Officer, para. 1 (cross-ref FinCEN FIN-2014-A007)</t>
        </is>
      </c>
      <c r="E110" s="20" t="inlineStr">
        <is>
          <t>manual</t>
        </is>
      </c>
      <c r="F110" s="20" t="inlineStr">
        <is>
          <t>both</t>
        </is>
      </c>
      <c r="G110" s="20" t="inlineStr">
        <is>
          <t>Full board (oversight)</t>
        </is>
      </c>
      <c r="H110" s="20" t="inlineStr">
        <is>
          <t>supervisory</t>
        </is>
      </c>
      <c r="I110" s="22" t="inlineStr">
        <is>
          <t>unverified</t>
        </is>
      </c>
      <c r="J110" s="23" t="inlineStr">
        <is>
          <t>Retained</t>
        </is>
      </c>
      <c r="K110" s="20" t="inlineStr">
        <is>
          <t>per-cluster package</t>
        </is>
      </c>
      <c r="L110" s="20" t="inlineStr">
        <is>
          <t>T17</t>
        </is>
      </c>
      <c r="M110" s="20" t="inlineStr">
        <is>
          <t>BSA/AML program approval retained; manual cross-references the rule</t>
        </is>
      </c>
    </row>
    <row r="111" ht="35.05" customHeight="1" s="14">
      <c r="A111" s="20" t="inlineStr">
        <is>
          <t>s:BSA-06</t>
        </is>
      </c>
      <c r="B111" s="20" t="inlineStr">
        <is>
          <t>BSA/AML program</t>
        </is>
      </c>
      <c r="C111" s="20" t="inlineStr">
        <is>
          <t>The BSA compliance officer should regularly report the status of ongoing BSA compliance to the board (or a designated bo</t>
        </is>
      </c>
      <c r="D111" s="20" t="inlineStr">
        <is>
          <t>BSA Compliance Officer, para. 2</t>
        </is>
      </c>
      <c r="E111" s="20" t="inlineStr">
        <is>
          <t>manual</t>
        </is>
      </c>
      <c r="F111" s="20" t="inlineStr">
        <is>
          <t>both</t>
        </is>
      </c>
      <c r="G111" s="20" t="inlineStr">
        <is>
          <t>Full board or designated board committee</t>
        </is>
      </c>
      <c r="H111" s="20" t="inlineStr">
        <is>
          <t>supervisory</t>
        </is>
      </c>
      <c r="I111" s="22" t="inlineStr">
        <is>
          <t>unverified</t>
        </is>
      </c>
      <c r="J111" s="23" t="inlineStr">
        <is>
          <t>Retained</t>
        </is>
      </c>
      <c r="K111" s="20" t="inlineStr">
        <is>
          <t>per-cluster package</t>
        </is>
      </c>
      <c r="L111" s="20" t="inlineStr">
        <is>
          <t>T17</t>
        </is>
      </c>
      <c r="M111" s="20" t="inlineStr">
        <is>
          <t>BSA/AML program approval retained; manual cross-references the rule</t>
        </is>
      </c>
    </row>
    <row r="112" ht="23.85" customHeight="1" s="14">
      <c r="A112" s="20" t="inlineStr">
        <is>
          <t>s:BSA-07</t>
        </is>
      </c>
      <c r="B112" s="20" t="inlineStr">
        <is>
          <t>BSA/AML program</t>
        </is>
      </c>
      <c r="C112" s="20" t="inlineStr">
        <is>
          <t>Board of directors and senior management should receive foundational BSA training and be informed of changes/new develop</t>
        </is>
      </c>
      <c r="D112" s="20" t="inlineStr">
        <is>
          <t>BSA/AML Training, para. 2</t>
        </is>
      </c>
      <c r="E112" s="20" t="inlineStr">
        <is>
          <t>manual</t>
        </is>
      </c>
      <c r="F112" s="20" t="inlineStr">
        <is>
          <t>both</t>
        </is>
      </c>
      <c r="G112" s="20" t="inlineStr">
        <is>
          <t>Full board</t>
        </is>
      </c>
      <c r="H112" s="20" t="inlineStr">
        <is>
          <t>supervisory</t>
        </is>
      </c>
      <c r="I112" s="22" t="inlineStr">
        <is>
          <t>unverified</t>
        </is>
      </c>
      <c r="J112" s="23" t="inlineStr">
        <is>
          <t>Retained</t>
        </is>
      </c>
      <c r="K112" s="20" t="inlineStr">
        <is>
          <t>per-cluster package</t>
        </is>
      </c>
      <c r="L112" s="20" t="inlineStr">
        <is>
          <t>T17</t>
        </is>
      </c>
      <c r="M112" s="20" t="inlineStr">
        <is>
          <t>BSA/AML program approval retained; manual cross-references the rule</t>
        </is>
      </c>
    </row>
    <row r="113" ht="23.85" customHeight="1" s="14">
      <c r="A113" s="20" t="inlineStr">
        <is>
          <t>s:BSA-08</t>
        </is>
      </c>
      <c r="B113" s="20" t="inlineStr">
        <is>
          <t>BSA/AML program</t>
        </is>
      </c>
      <c r="C113" s="20" t="inlineStr">
        <is>
          <t>Leadership (board and senior management) should demonstrate visible commitment to BSA compliance, devote adequate resour</t>
        </is>
      </c>
      <c r="D113" s="20" t="inlineStr">
        <is>
          <t>Advisory</t>
        </is>
      </c>
      <c r="E113" s="20" t="inlineStr">
        <is>
          <t>guidance</t>
        </is>
      </c>
      <c r="F113" s="20" t="inlineStr">
        <is>
          <t>IDI</t>
        </is>
      </c>
      <c r="G113" s="20" t="inlineStr">
        <is>
          <t>Full board; senior management</t>
        </is>
      </c>
      <c r="H113" s="20" t="inlineStr">
        <is>
          <t>supervisory</t>
        </is>
      </c>
      <c r="I113" s="22" t="inlineStr">
        <is>
          <t>unverified</t>
        </is>
      </c>
      <c r="J113" s="23" t="inlineStr">
        <is>
          <t>Retained</t>
        </is>
      </c>
      <c r="K113" s="20" t="inlineStr">
        <is>
          <t>per-cluster package</t>
        </is>
      </c>
      <c r="L113" s="20" t="inlineStr">
        <is>
          <t>T17</t>
        </is>
      </c>
      <c r="M113" s="20" t="inlineStr">
        <is>
          <t>BSA/AML program approval retained; manual cross-references the rule</t>
        </is>
      </c>
    </row>
    <row r="114" ht="68.65000000000001" customHeight="1" s="14">
      <c r="A114" s="20" t="inlineStr">
        <is>
          <t>s:BSA-09</t>
        </is>
      </c>
      <c r="B114" s="20" t="inlineStr">
        <is>
          <t>BSA/AML program</t>
        </is>
      </c>
      <c r="C114" s="20" t="inlineStr">
        <is>
          <t>PROPOSED: would require the AML/CFT program to be approved by the financial institution's board of directors or an equiv</t>
        </is>
      </c>
      <c r="D114" s="20" t="inlineStr">
        <is>
          <t>Proposed 31 CFR 10XX.210(d); preamble sec. V.E.2</t>
        </is>
      </c>
      <c r="E114" s="20" t="inlineStr">
        <is>
          <t>guidance</t>
        </is>
      </c>
      <c r="F114" s="20" t="inlineStr">
        <is>
          <t>IDI</t>
        </is>
      </c>
      <c r="G114" s="20" t="inlineStr">
        <is>
          <t>Full board OR equivalent governing body OR appropriate senior management (incl. board committees)</t>
        </is>
      </c>
      <c r="H114" s="20" t="inlineStr">
        <is>
          <t>supervisory</t>
        </is>
      </c>
      <c r="I114" s="22" t="inlineStr">
        <is>
          <t>unverified</t>
        </is>
      </c>
      <c r="J114" s="23" t="inlineStr">
        <is>
          <t>Retained</t>
        </is>
      </c>
      <c r="K114" s="20" t="inlineStr">
        <is>
          <t>per-cluster package</t>
        </is>
      </c>
      <c r="L114" s="20" t="inlineStr">
        <is>
          <t>T17</t>
        </is>
      </c>
      <c r="M114" s="20" t="inlineStr">
        <is>
          <t>BSA/AML program approval retained; manual cross-references the rule</t>
        </is>
      </c>
    </row>
    <row r="115" ht="35.05" customHeight="1" s="14">
      <c r="A115" s="20" t="inlineStr">
        <is>
          <t>s:BSA-10</t>
        </is>
      </c>
      <c r="B115" s="20" t="inlineStr">
        <is>
          <t>BSA/AML program</t>
        </is>
      </c>
      <c r="C115" s="20" t="inlineStr">
        <is>
          <t>PROPOSED: would amend each agency's program rule to require effective, risk-based AML/CFT programs aligned with the FinC</t>
        </is>
      </c>
      <c r="D115" s="20" t="inlineStr">
        <is>
          <t>Proposed program-rule amendments</t>
        </is>
      </c>
      <c r="E115" s="20" t="inlineStr">
        <is>
          <t>guidance</t>
        </is>
      </c>
      <c r="F115" s="20" t="inlineStr">
        <is>
          <t>both</t>
        </is>
      </c>
      <c r="G115" s="20" t="inlineStr">
        <is>
          <t>Full board (per amended agency rules)</t>
        </is>
      </c>
      <c r="H115" s="20" t="inlineStr">
        <is>
          <t>supervisory</t>
        </is>
      </c>
      <c r="I115" s="22" t="inlineStr">
        <is>
          <t>unverified</t>
        </is>
      </c>
      <c r="J115" s="23" t="inlineStr">
        <is>
          <t>Retained</t>
        </is>
      </c>
      <c r="K115" s="20" t="inlineStr">
        <is>
          <t>per-cluster package</t>
        </is>
      </c>
      <c r="L115" s="20" t="inlineStr">
        <is>
          <t>T17</t>
        </is>
      </c>
      <c r="M115" s="20" t="inlineStr">
        <is>
          <t>BSA/AML program approval retained; manual cross-references the rule</t>
        </is>
      </c>
    </row>
    <row r="116" ht="23.85" customHeight="1" s="14">
      <c r="A116" s="20" t="inlineStr">
        <is>
          <t>s:BSA-11</t>
        </is>
      </c>
      <c r="B116" s="20" t="inlineStr">
        <is>
          <t>BSA/AML program</t>
        </is>
      </c>
      <c r="C116" s="20" t="inlineStr">
        <is>
          <t>Board should receive orientation on BSA/AML requirements and risks and is responsible for approving and overseeing manag</t>
        </is>
      </c>
      <c r="D116" s="20" t="inlineStr">
        <is>
          <t>BSA/AML oversight (local ll. ~1184-1193, 3504-3526)</t>
        </is>
      </c>
      <c r="E116" s="20" t="inlineStr">
        <is>
          <t>guidance</t>
        </is>
      </c>
      <c r="F116" s="20" t="inlineStr">
        <is>
          <t>IDI</t>
        </is>
      </c>
      <c r="G116" s="20" t="inlineStr">
        <is>
          <t>Full board</t>
        </is>
      </c>
      <c r="H116" s="20" t="inlineStr">
        <is>
          <t>supervisory</t>
        </is>
      </c>
      <c r="I116" s="22" t="inlineStr">
        <is>
          <t>unverified</t>
        </is>
      </c>
      <c r="J116" s="23" t="inlineStr">
        <is>
          <t>Retained</t>
        </is>
      </c>
      <c r="K116" s="20" t="inlineStr">
        <is>
          <t>per-cluster package</t>
        </is>
      </c>
      <c r="L116" s="20" t="inlineStr">
        <is>
          <t>T17</t>
        </is>
      </c>
      <c r="M116" s="20" t="inlineStr">
        <is>
          <t>BSA/AML program approval retained; manual cross-references the rule</t>
        </is>
      </c>
    </row>
    <row r="117" ht="35.05" customHeight="1" s="14">
      <c r="A117" s="20" t="inlineStr">
        <is>
          <t>s:BSA-12</t>
        </is>
      </c>
      <c r="B117" s="20" t="inlineStr">
        <is>
          <t>BSA/AML program</t>
        </is>
      </c>
      <c r="C117" s="20" t="inlineStr">
        <is>
          <t xml:space="preserve">Independent testing should provide enough information for the board (or a designated board committee) to assess program </t>
        </is>
      </c>
      <c r="D117" s="20" t="inlineStr">
        <is>
          <t>Independent Testing exam procedures</t>
        </is>
      </c>
      <c r="E117" s="20" t="inlineStr">
        <is>
          <t>manual</t>
        </is>
      </c>
      <c r="F117" s="20" t="inlineStr">
        <is>
          <t>both</t>
        </is>
      </c>
      <c r="G117" s="20" t="inlineStr">
        <is>
          <t>Full board or designated board committee</t>
        </is>
      </c>
      <c r="H117" s="20" t="inlineStr">
        <is>
          <t>supervisory</t>
        </is>
      </c>
      <c r="I117" s="22" t="inlineStr">
        <is>
          <t>unverified</t>
        </is>
      </c>
      <c r="J117" s="23" t="inlineStr">
        <is>
          <t>Retained</t>
        </is>
      </c>
      <c r="K117" s="20" t="inlineStr">
        <is>
          <t>per-cluster package</t>
        </is>
      </c>
      <c r="L117" s="20" t="inlineStr">
        <is>
          <t>T17</t>
        </is>
      </c>
      <c r="M117" s="20" t="inlineStr">
        <is>
          <t>BSA/AML program approval retained; manual cross-references the rule</t>
        </is>
      </c>
    </row>
    <row r="118" ht="23.85" customHeight="1" s="14">
      <c r="A118" s="20" t="inlineStr">
        <is>
          <t>s:BSA-13</t>
        </is>
      </c>
      <c r="B118" s="20" t="inlineStr">
        <is>
          <t>BSA/AML program</t>
        </is>
      </c>
      <c r="C118" s="20" t="inlineStr">
        <is>
          <t>The OFAC/sanctions compliance program should be risk-based and supported by policies, procedures, internal controls, tes</t>
        </is>
      </c>
      <c r="D118" s="20" t="inlineStr">
        <is>
          <t>OFAC / sanctions examination sections</t>
        </is>
      </c>
      <c r="E118" s="20" t="inlineStr">
        <is>
          <t>manual</t>
        </is>
      </c>
      <c r="F118" s="20" t="inlineStr">
        <is>
          <t>both</t>
        </is>
      </c>
      <c r="G118" s="20" t="inlineStr">
        <is>
          <t>Full board; senior management</t>
        </is>
      </c>
      <c r="H118" s="20" t="inlineStr">
        <is>
          <t>supervisory</t>
        </is>
      </c>
      <c r="I118" s="22" t="inlineStr">
        <is>
          <t>unverified</t>
        </is>
      </c>
      <c r="J118" s="23" t="inlineStr">
        <is>
          <t>Retained</t>
        </is>
      </c>
      <c r="K118" s="20" t="inlineStr">
        <is>
          <t>per-cluster package</t>
        </is>
      </c>
      <c r="L118" s="20" t="inlineStr">
        <is>
          <t>T17</t>
        </is>
      </c>
      <c r="M118" s="20" t="inlineStr">
        <is>
          <t>BSA/AML program approval retained; manual cross-references the rule</t>
        </is>
      </c>
    </row>
    <row r="119" ht="23.85" customHeight="1" s="14">
      <c r="A119" s="20" t="inlineStr">
        <is>
          <t>s:CCX-01</t>
        </is>
      </c>
      <c r="B119" s="20" t="inlineStr">
        <is>
          <t>Consumer compliance (CMS)</t>
        </is>
      </c>
      <c r="C119" s="20" t="inlineStr">
        <is>
          <t>Board oversight that strategic plans consider community credit needs and CRA performance.</t>
        </is>
      </c>
      <c r="D119" s="20" t="inlineStr">
        <is>
          <t>12 U.S.C. 2901 et seq.</t>
        </is>
      </c>
      <c r="E119" s="20" t="inlineStr">
        <is>
          <t>statute</t>
        </is>
      </c>
      <c r="F119" s="20" t="inlineStr">
        <is>
          <t>both</t>
        </is>
      </c>
      <c r="G119" s="20" t="inlineStr">
        <is>
          <t>Full board</t>
        </is>
      </c>
      <c r="H119" s="20" t="inlineStr">
        <is>
          <t>supervisory</t>
        </is>
      </c>
      <c r="I119" s="20" t="inlineStr">
        <is>
          <t>verified</t>
        </is>
      </c>
      <c r="J119" s="23" t="inlineStr">
        <is>
          <t>Retained</t>
        </is>
      </c>
      <c r="K119" s="20" t="inlineStr">
        <is>
          <t>per-cluster package</t>
        </is>
      </c>
      <c r="L119" s="20" t="inlineStr">
        <is>
          <t>T18</t>
        </is>
      </c>
      <c r="M119" s="20" t="inlineStr">
        <is>
          <t>Consumer-compliance oversight retained — coordinated, not consolidated</t>
        </is>
      </c>
    </row>
    <row r="120" ht="23.85" customHeight="1" s="14">
      <c r="A120" s="20" t="inlineStr">
        <is>
          <t>s:CCX-02</t>
        </is>
      </c>
      <c r="B120" s="20" t="inlineStr">
        <is>
          <t>Consumer compliance (CMS)</t>
        </is>
      </c>
      <c r="C120" s="20" t="inlineStr">
        <is>
          <t>Board oversight of compliance with the FDIC deposit-insurance representation/advertising rules (Part 328) and, for FX-ac</t>
        </is>
      </c>
      <c r="D120" s="20" t="inlineStr">
        <is>
          <t>12 CFR part 328; SR 13-24</t>
        </is>
      </c>
      <c r="E120" s="20" t="inlineStr">
        <is>
          <t>regulation</t>
        </is>
      </c>
      <c r="F120" s="20" t="inlineStr">
        <is>
          <t>IDI</t>
        </is>
      </c>
      <c r="G120" s="20" t="inlineStr">
        <is>
          <t>Full board or committee</t>
        </is>
      </c>
      <c r="H120" s="20" t="inlineStr">
        <is>
          <t>supervisory</t>
        </is>
      </c>
      <c r="I120" s="20" t="inlineStr">
        <is>
          <t>verified</t>
        </is>
      </c>
      <c r="J120" s="23" t="inlineStr">
        <is>
          <t>Retained</t>
        </is>
      </c>
      <c r="K120" s="20" t="inlineStr">
        <is>
          <t>per-cluster package</t>
        </is>
      </c>
      <c r="L120" s="20" t="inlineStr">
        <is>
          <t>T18</t>
        </is>
      </c>
      <c r="M120" s="20" t="inlineStr">
        <is>
          <t>Consumer-compliance oversight retained — coordinated, not consolidated</t>
        </is>
      </c>
    </row>
    <row r="121" ht="35.05" customHeight="1" s="14">
      <c r="A121" s="20" t="inlineStr">
        <is>
          <t>s:CON-01</t>
        </is>
      </c>
      <c r="B121" s="20" t="inlineStr">
        <is>
          <t>Consumer compliance (CMS)</t>
        </is>
      </c>
      <c r="C121" s="20" t="inlineStr">
        <is>
          <t>Board should oversee the bank's consumer-compliance management system (CMS), create a culture that prioritizes complianc</t>
        </is>
      </c>
      <c r="D121" s="20" t="inlineStr">
        <is>
          <t>Oversight and Commitment / Board of Directors, pp. 6-7</t>
        </is>
      </c>
      <c r="E121" s="20" t="inlineStr">
        <is>
          <t>guidance</t>
        </is>
      </c>
      <c r="F121" s="20" t="inlineStr">
        <is>
          <t>IDI</t>
        </is>
      </c>
      <c r="G121" s="20" t="inlineStr">
        <is>
          <t>Full board (may delegate day-to-day to management)</t>
        </is>
      </c>
      <c r="H121" s="20" t="inlineStr">
        <is>
          <t>supervisory</t>
        </is>
      </c>
      <c r="I121" s="22" t="inlineStr">
        <is>
          <t>unverified</t>
        </is>
      </c>
      <c r="J121" s="23" t="inlineStr">
        <is>
          <t>Retained</t>
        </is>
      </c>
      <c r="K121" s="20" t="inlineStr">
        <is>
          <t>per-cluster package</t>
        </is>
      </c>
      <c r="L121" s="20" t="inlineStr">
        <is>
          <t>T18</t>
        </is>
      </c>
      <c r="M121" s="20" t="inlineStr">
        <is>
          <t>Consumer-compliance oversight retained — coordinated, not consolidated</t>
        </is>
      </c>
    </row>
    <row r="122" ht="23.85" customHeight="1" s="14">
      <c r="A122" s="20" t="inlineStr">
        <is>
          <t>s:CON-02</t>
        </is>
      </c>
      <c r="B122" s="20" t="inlineStr">
        <is>
          <t>Consumer compliance (CMS)</t>
        </is>
      </c>
      <c r="C122" s="20" t="inlineStr">
        <is>
          <t>Board should receive sufficient consumer-compliance information (MIS reports, risk assessments, monitoring and independe</t>
        </is>
      </c>
      <c r="D122" s="20" t="inlineStr">
        <is>
          <t>Board of Directors, p. 7</t>
        </is>
      </c>
      <c r="E122" s="20" t="inlineStr">
        <is>
          <t>guidance</t>
        </is>
      </c>
      <c r="F122" s="20" t="inlineStr">
        <is>
          <t>IDI</t>
        </is>
      </c>
      <c r="G122" s="20" t="inlineStr">
        <is>
          <t>Full board or board committee</t>
        </is>
      </c>
      <c r="H122" s="20" t="inlineStr">
        <is>
          <t>supervisory</t>
        </is>
      </c>
      <c r="I122" s="22" t="inlineStr">
        <is>
          <t>unverified</t>
        </is>
      </c>
      <c r="J122" s="23" t="inlineStr">
        <is>
          <t>Retained</t>
        </is>
      </c>
      <c r="K122" s="20" t="inlineStr">
        <is>
          <t>per-cluster package</t>
        </is>
      </c>
      <c r="L122" s="20" t="inlineStr">
        <is>
          <t>T18</t>
        </is>
      </c>
      <c r="M122" s="20" t="inlineStr">
        <is>
          <t>Consumer-compliance oversight retained — coordinated, not consolidated</t>
        </is>
      </c>
    </row>
    <row r="123" ht="23.85" customHeight="1" s="14">
      <c r="A123" s="20" t="inlineStr">
        <is>
          <t>s:CON-03</t>
        </is>
      </c>
      <c r="B123" s="20" t="inlineStr">
        <is>
          <t>Consumer compliance (CMS)</t>
        </is>
      </c>
      <c r="C123" s="20" t="inlineStr">
        <is>
          <t>Board should understand its consumer-compliance roles and responsibilities and periodically assess directors' consumer-c</t>
        </is>
      </c>
      <c r="D123" s="20" t="inlineStr">
        <is>
          <t>Board of Directors, p. 7</t>
        </is>
      </c>
      <c r="E123" s="20" t="inlineStr">
        <is>
          <t>guidance</t>
        </is>
      </c>
      <c r="F123" s="20" t="inlineStr">
        <is>
          <t>IDI</t>
        </is>
      </c>
      <c r="G123" s="20" t="inlineStr">
        <is>
          <t>Full board</t>
        </is>
      </c>
      <c r="H123" s="20" t="inlineStr">
        <is>
          <t>supervisory</t>
        </is>
      </c>
      <c r="I123" s="22" t="inlineStr">
        <is>
          <t>unverified</t>
        </is>
      </c>
      <c r="J123" s="23" t="inlineStr">
        <is>
          <t>Retained</t>
        </is>
      </c>
      <c r="K123" s="20" t="inlineStr">
        <is>
          <t>per-cluster package</t>
        </is>
      </c>
      <c r="L123" s="20" t="inlineStr">
        <is>
          <t>T18</t>
        </is>
      </c>
      <c r="M123" s="20" t="inlineStr">
        <is>
          <t>Consumer-compliance oversight retained — coordinated, not consolidated</t>
        </is>
      </c>
    </row>
    <row r="124" ht="23.85" customHeight="1" s="14">
      <c r="A124" s="20" t="inlineStr">
        <is>
          <t>s:CON-04</t>
        </is>
      </c>
      <c r="B124" s="20" t="inlineStr">
        <is>
          <t>Consumer compliance (CMS)</t>
        </is>
      </c>
      <c r="C124" s="20" t="inlineStr">
        <is>
          <t>Responsibility for ensuring the institution and its third-party providers comply rests with the board and management; ev</t>
        </is>
      </c>
      <c r="D124" s="20" t="inlineStr">
        <is>
          <t>Sec. II-3.1</t>
        </is>
      </c>
      <c r="E124" s="20" t="inlineStr">
        <is>
          <t>guidance</t>
        </is>
      </c>
      <c r="F124" s="20" t="inlineStr">
        <is>
          <t>IDI</t>
        </is>
      </c>
      <c r="G124" s="20" t="inlineStr">
        <is>
          <t>Full board; management</t>
        </is>
      </c>
      <c r="H124" s="20" t="inlineStr">
        <is>
          <t>supervisory</t>
        </is>
      </c>
      <c r="I124" s="22" t="inlineStr">
        <is>
          <t>unverified</t>
        </is>
      </c>
      <c r="J124" s="23" t="inlineStr">
        <is>
          <t>Retained</t>
        </is>
      </c>
      <c r="K124" s="20" t="inlineStr">
        <is>
          <t>per-cluster package</t>
        </is>
      </c>
      <c r="L124" s="20" t="inlineStr">
        <is>
          <t>T18</t>
        </is>
      </c>
      <c r="M124" s="20" t="inlineStr">
        <is>
          <t>Consumer-compliance oversight retained — coordinated, not consolidated</t>
        </is>
      </c>
    </row>
    <row r="125" ht="46.25" customHeight="1" s="14">
      <c r="A125" s="20" t="inlineStr">
        <is>
          <t>s:CON-05</t>
        </is>
      </c>
      <c r="B125" s="20" t="inlineStr">
        <is>
          <t>Consumer compliance (CMS)</t>
        </is>
      </c>
      <c r="C125" s="20" t="inlineStr">
        <is>
          <t>Board should determine the scope and frequency of compliance audits; the compliance officer establishes a regular traini</t>
        </is>
      </c>
      <c r="D125" s="20" t="inlineStr">
        <is>
          <t>Sec. II-3.1 (audit and training subsections)</t>
        </is>
      </c>
      <c r="E125" s="20" t="inlineStr">
        <is>
          <t>guidance</t>
        </is>
      </c>
      <c r="F125" s="20" t="inlineStr">
        <is>
          <t>IDI</t>
        </is>
      </c>
      <c r="G125" s="20" t="inlineStr">
        <is>
          <t>Full board (audit scope/frequency); directors as training recipients</t>
        </is>
      </c>
      <c r="H125" s="20" t="inlineStr">
        <is>
          <t>supervisory</t>
        </is>
      </c>
      <c r="I125" s="22" t="inlineStr">
        <is>
          <t>unverified</t>
        </is>
      </c>
      <c r="J125" s="23" t="inlineStr">
        <is>
          <t>Retained</t>
        </is>
      </c>
      <c r="K125" s="20" t="inlineStr">
        <is>
          <t>per-cluster package</t>
        </is>
      </c>
      <c r="L125" s="20" t="inlineStr">
        <is>
          <t>T18</t>
        </is>
      </c>
      <c r="M125" s="20" t="inlineStr">
        <is>
          <t>Consumer-compliance oversight retained — coordinated, not consolidated</t>
        </is>
      </c>
    </row>
    <row r="126" ht="68.65000000000001" customHeight="1" s="14">
      <c r="A126" s="20" t="inlineStr">
        <is>
          <t>s:CON-06</t>
        </is>
      </c>
      <c r="B126" s="20" t="inlineStr">
        <is>
          <t>Consumer compliance (CMS)</t>
        </is>
      </c>
      <c r="C126" s="20" t="inlineStr">
        <is>
          <t>Board should oversee development of, review, approve, and periodically monitor the firm's compliance strategy and its al</t>
        </is>
      </c>
      <c r="D126" s="20" t="inlineStr">
        <is>
          <t>Sec. IV (Responsibilities of the Board of Directors and Senior Management), p. 8; sec. I</t>
        </is>
      </c>
      <c r="E126" s="20" t="inlineStr">
        <is>
          <t>guidance</t>
        </is>
      </c>
      <c r="F126" s="20" t="inlineStr">
        <is>
          <t>BHC</t>
        </is>
      </c>
      <c r="G126" s="20" t="inlineStr">
        <is>
          <t>Full board (day-to-day oversight often via Risk Committee or a dedicated compliance committee at GSIBs)</t>
        </is>
      </c>
      <c r="H126" s="20" t="inlineStr">
        <is>
          <t>supervisory</t>
        </is>
      </c>
      <c r="I126" s="22" t="inlineStr">
        <is>
          <t>unverified</t>
        </is>
      </c>
      <c r="J126" s="23" t="inlineStr">
        <is>
          <t>Retained</t>
        </is>
      </c>
      <c r="K126" s="20" t="inlineStr">
        <is>
          <t>per-cluster package</t>
        </is>
      </c>
      <c r="L126" s="20" t="inlineStr">
        <is>
          <t>T18</t>
        </is>
      </c>
      <c r="M126" s="20" t="inlineStr">
        <is>
          <t>Consumer-compliance oversight retained — coordinated, not consolidated</t>
        </is>
      </c>
    </row>
    <row r="127" ht="35.05" customHeight="1" s="14">
      <c r="A127" s="20" t="inlineStr">
        <is>
          <t>s:CON-07</t>
        </is>
      </c>
      <c r="B127" s="20" t="inlineStr">
        <is>
          <t>Consumer compliance (CMS)</t>
        </is>
      </c>
      <c r="C127" s="20" t="inlineStr">
        <is>
          <t xml:space="preserve">Board should promote the stature and independence of the corporate compliance function and provide an appropriate level </t>
        </is>
      </c>
      <c r="D127" s="20" t="inlineStr">
        <is>
          <t>Sec. IV (Boards of Directors), p. 9; sec. II</t>
        </is>
      </c>
      <c r="E127" s="20" t="inlineStr">
        <is>
          <t>guidance</t>
        </is>
      </c>
      <c r="F127" s="20" t="inlineStr">
        <is>
          <t>BHC</t>
        </is>
      </c>
      <c r="G127" s="20" t="inlineStr">
        <is>
          <t>Full board (reporting to board or a committee)</t>
        </is>
      </c>
      <c r="H127" s="20" t="inlineStr">
        <is>
          <t>supervisory</t>
        </is>
      </c>
      <c r="I127" s="22" t="inlineStr">
        <is>
          <t>unverified</t>
        </is>
      </c>
      <c r="J127" s="23" t="inlineStr">
        <is>
          <t>Retained</t>
        </is>
      </c>
      <c r="K127" s="20" t="inlineStr">
        <is>
          <t>per-cluster package</t>
        </is>
      </c>
      <c r="L127" s="20" t="inlineStr">
        <is>
          <t>T18</t>
        </is>
      </c>
      <c r="M127" s="20" t="inlineStr">
        <is>
          <t>Consumer-compliance oversight retained — coordinated, not consolidated</t>
        </is>
      </c>
    </row>
    <row r="128" ht="23.85" customHeight="1" s="14">
      <c r="A128" s="20" t="inlineStr">
        <is>
          <t>s:CON-08</t>
        </is>
      </c>
      <c r="B128" s="20" t="inlineStr">
        <is>
          <t>Consumer compliance (CMS)</t>
        </is>
      </c>
      <c r="C128" s="20" t="inlineStr">
        <is>
          <t>Board approval and oversight of the compliance management system, board reporting, and board accountability for the CMS.</t>
        </is>
      </c>
      <c r="D128" s="20" t="inlineStr">
        <is>
          <t>CMR module (board and senior management)</t>
        </is>
      </c>
      <c r="E128" s="20" t="inlineStr">
        <is>
          <t>guidance</t>
        </is>
      </c>
      <c r="F128" s="20" t="inlineStr">
        <is>
          <t>IDI</t>
        </is>
      </c>
      <c r="G128" s="20" t="inlineStr">
        <is>
          <t>Full board</t>
        </is>
      </c>
      <c r="H128" s="20" t="inlineStr">
        <is>
          <t>supervisory</t>
        </is>
      </c>
      <c r="I128" s="22" t="inlineStr">
        <is>
          <t>unverified</t>
        </is>
      </c>
      <c r="J128" s="23" t="inlineStr">
        <is>
          <t>Retained</t>
        </is>
      </c>
      <c r="K128" s="20" t="inlineStr">
        <is>
          <t>per-cluster package</t>
        </is>
      </c>
      <c r="L128" s="20" t="inlineStr">
        <is>
          <t>T18</t>
        </is>
      </c>
      <c r="M128" s="20" t="inlineStr">
        <is>
          <t>Consumer-compliance oversight retained — coordinated, not consolidated</t>
        </is>
      </c>
    </row>
    <row r="129" ht="35.05" customHeight="1" s="14">
      <c r="A129" s="20" t="inlineStr">
        <is>
          <t>s:CON-09</t>
        </is>
      </c>
      <c r="B129" s="20" t="inlineStr">
        <is>
          <t>Consumer compliance (CMS)</t>
        </is>
      </c>
      <c r="C129" s="20" t="inlineStr">
        <is>
          <t>Board is expected to ensure the CMS covers fair-lending risk (ECOA/Reg B, FHA, HMDA/Reg C), receive fair-lending risk as</t>
        </is>
      </c>
      <c r="D129" s="20" t="inlineStr">
        <is>
          <t>Fair-lending exam procedures; CMS expectations</t>
        </is>
      </c>
      <c r="E129" s="20" t="inlineStr">
        <is>
          <t>manual</t>
        </is>
      </c>
      <c r="F129" s="20" t="inlineStr">
        <is>
          <t>both</t>
        </is>
      </c>
      <c r="G129" s="20" t="inlineStr">
        <is>
          <t>Full board or compliance/risk committee</t>
        </is>
      </c>
      <c r="H129" s="20" t="inlineStr">
        <is>
          <t>supervisory</t>
        </is>
      </c>
      <c r="I129" s="22" t="inlineStr">
        <is>
          <t>unverified</t>
        </is>
      </c>
      <c r="J129" s="23" t="inlineStr">
        <is>
          <t>Retained</t>
        </is>
      </c>
      <c r="K129" s="20" t="inlineStr">
        <is>
          <t>per-cluster package</t>
        </is>
      </c>
      <c r="L129" s="20" t="inlineStr">
        <is>
          <t>T18</t>
        </is>
      </c>
      <c r="M129" s="20" t="inlineStr">
        <is>
          <t>Consumer-compliance oversight retained — coordinated, not consolidated</t>
        </is>
      </c>
    </row>
    <row r="130" ht="35.05" customHeight="1" s="14">
      <c r="A130" s="20" t="inlineStr">
        <is>
          <t>s:CON-10</t>
        </is>
      </c>
      <c r="B130" s="20" t="inlineStr">
        <is>
          <t>Consumer compliance (CMS)</t>
        </is>
      </c>
      <c r="C130" s="20" t="inlineStr">
        <is>
          <t>In a depository institution the board is ultimately responsible for developing and administering a compliance management</t>
        </is>
      </c>
      <c r="D130" s="20" t="inlineStr">
        <is>
          <t>CMR Module 1 (local ll. ~2878-2949)</t>
        </is>
      </c>
      <c r="E130" s="20" t="inlineStr">
        <is>
          <t>guidance</t>
        </is>
      </c>
      <c r="F130" s="20" t="inlineStr">
        <is>
          <t>IDI</t>
        </is>
      </c>
      <c r="G130" s="20" t="inlineStr">
        <is>
          <t>Full board (or equivalent oversight body)</t>
        </is>
      </c>
      <c r="H130" s="20" t="inlineStr">
        <is>
          <t>supervisory</t>
        </is>
      </c>
      <c r="I130" s="22" t="inlineStr">
        <is>
          <t>unverified</t>
        </is>
      </c>
      <c r="J130" s="23" t="inlineStr">
        <is>
          <t>Retained</t>
        </is>
      </c>
      <c r="K130" s="20" t="inlineStr">
        <is>
          <t>per-cluster package</t>
        </is>
      </c>
      <c r="L130" s="20" t="inlineStr">
        <is>
          <t>T18</t>
        </is>
      </c>
      <c r="M130" s="20" t="inlineStr">
        <is>
          <t>Consumer-compliance oversight retained — coordinated, not consolidated</t>
        </is>
      </c>
    </row>
    <row r="131" ht="35.05" customHeight="1" s="14">
      <c r="A131" s="20" t="inlineStr">
        <is>
          <t>s:CON-11</t>
        </is>
      </c>
      <c r="B131" s="20" t="inlineStr">
        <is>
          <t>Consumer compliance (CMS)</t>
        </is>
      </c>
      <c r="C131" s="20" t="inlineStr">
        <is>
          <t>Examiners review board minutes, delegated board-committee responsibilities for compliance, management-committee reportin</t>
        </is>
      </c>
      <c r="D131" s="20" t="inlineStr">
        <is>
          <t>CMR procedures (local ll. ~2991-3065)</t>
        </is>
      </c>
      <c r="E131" s="20" t="inlineStr">
        <is>
          <t>guidance</t>
        </is>
      </c>
      <c r="F131" s="20" t="inlineStr">
        <is>
          <t>IDI</t>
        </is>
      </c>
      <c r="G131" s="20" t="inlineStr">
        <is>
          <t>Full board; audit committee; risk committee</t>
        </is>
      </c>
      <c r="H131" s="20" t="inlineStr">
        <is>
          <t>supervisory</t>
        </is>
      </c>
      <c r="I131" s="22" t="inlineStr">
        <is>
          <t>unverified</t>
        </is>
      </c>
      <c r="J131" s="23" t="inlineStr">
        <is>
          <t>Retained</t>
        </is>
      </c>
      <c r="K131" s="20" t="inlineStr">
        <is>
          <t>per-cluster package</t>
        </is>
      </c>
      <c r="L131" s="20" t="inlineStr">
        <is>
          <t>T18</t>
        </is>
      </c>
      <c r="M131" s="20" t="inlineStr">
        <is>
          <t>Consumer-compliance oversight retained — coordinated, not consolidated</t>
        </is>
      </c>
    </row>
    <row r="132" ht="23.85" customHeight="1" s="14">
      <c r="A132" s="20" t="inlineStr">
        <is>
          <t>s:CON-12</t>
        </is>
      </c>
      <c r="B132" s="20" t="inlineStr">
        <is>
          <t>Consumer compliance (CMS)</t>
        </is>
      </c>
      <c r="C132" s="20" t="inlineStr">
        <is>
          <t xml:space="preserve">A compliance audit, independent of compliance and business functions, should give the board (or a designated committee) </t>
        </is>
      </c>
      <c r="D132" s="20" t="inlineStr">
        <is>
          <t>CMR Monitoring/Audit (local ll. ~3354-3401)</t>
        </is>
      </c>
      <c r="E132" s="20" t="inlineStr">
        <is>
          <t>guidance</t>
        </is>
      </c>
      <c r="F132" s="20" t="inlineStr">
        <is>
          <t>IDI</t>
        </is>
      </c>
      <c r="G132" s="20" t="inlineStr">
        <is>
          <t>Board or designated committee</t>
        </is>
      </c>
      <c r="H132" s="20" t="inlineStr">
        <is>
          <t>supervisory</t>
        </is>
      </c>
      <c r="I132" s="22" t="inlineStr">
        <is>
          <t>unverified</t>
        </is>
      </c>
      <c r="J132" s="23" t="inlineStr">
        <is>
          <t>Retained</t>
        </is>
      </c>
      <c r="K132" s="20" t="inlineStr">
        <is>
          <t>per-cluster package</t>
        </is>
      </c>
      <c r="L132" s="20" t="inlineStr">
        <is>
          <t>T18</t>
        </is>
      </c>
      <c r="M132" s="20" t="inlineStr">
        <is>
          <t>Consumer-compliance oversight retained — coordinated, not consolidated</t>
        </is>
      </c>
    </row>
    <row r="133" ht="23.85" customHeight="1" s="14">
      <c r="A133" s="20" t="inlineStr">
        <is>
          <t>s:CON-13</t>
        </is>
      </c>
      <c r="B133" s="20" t="inlineStr">
        <is>
          <t>Consumer compliance (CMS)</t>
        </is>
      </c>
      <c r="C133" s="20" t="inlineStr">
        <is>
          <t>Board should oversee the consumer compliance management system; larger, more complex banks should receive periodic state</t>
        </is>
      </c>
      <c r="D133" s="20" t="inlineStr">
        <is>
          <t>Consumer compliance (local ll. ~3442-3473, 3895-3901)</t>
        </is>
      </c>
      <c r="E133" s="20" t="inlineStr">
        <is>
          <t>guidance</t>
        </is>
      </c>
      <c r="F133" s="20" t="inlineStr">
        <is>
          <t>IDI</t>
        </is>
      </c>
      <c r="G133" s="20" t="inlineStr">
        <is>
          <t>Full board</t>
        </is>
      </c>
      <c r="H133" s="20" t="inlineStr">
        <is>
          <t>supervisory</t>
        </is>
      </c>
      <c r="I133" s="22" t="inlineStr">
        <is>
          <t>unverified</t>
        </is>
      </c>
      <c r="J133" s="23" t="inlineStr">
        <is>
          <t>Retained</t>
        </is>
      </c>
      <c r="K133" s="20" t="inlineStr">
        <is>
          <t>per-cluster package</t>
        </is>
      </c>
      <c r="L133" s="20" t="inlineStr">
        <is>
          <t>T18</t>
        </is>
      </c>
      <c r="M133" s="20" t="inlineStr">
        <is>
          <t>Consumer-compliance oversight retained — coordinated, not consolidated</t>
        </is>
      </c>
    </row>
    <row r="134" ht="23.85" customHeight="1" s="14">
      <c r="A134" s="20" t="inlineStr">
        <is>
          <t>b:ELG-04</t>
        </is>
      </c>
      <c r="B134" s="20" t="inlineStr">
        <is>
          <t>Incentive compensation</t>
        </is>
      </c>
      <c r="C134" s="20" t="inlineStr">
        <is>
          <t>Board determinations governing indemnification of institution-affiliated parties (good-faith / best-interests / no-mater</t>
        </is>
      </c>
      <c r="D134" s="20" t="inlineStr">
        <is>
          <t>12 CFR part 359; FDI Act §18(k)</t>
        </is>
      </c>
      <c r="E134" s="20" t="inlineStr">
        <is>
          <t>regulation</t>
        </is>
      </c>
      <c r="F134" s="20" t="inlineStr">
        <is>
          <t>both</t>
        </is>
      </c>
      <c r="G134" s="20" t="inlineStr">
        <is>
          <t>Full board</t>
        </is>
      </c>
      <c r="H134" s="20" t="inlineStr">
        <is>
          <t>binding</t>
        </is>
      </c>
      <c r="I134" s="22" t="inlineStr">
        <is>
          <t>unverified</t>
        </is>
      </c>
      <c r="J134" s="25" t="inlineStr">
        <is>
          <t>Open branch</t>
        </is>
      </c>
      <c r="K134" s="20" t="inlineStr">
        <is>
          <t>per-cluster package</t>
        </is>
      </c>
      <c r="L134" s="20" t="inlineStr">
        <is>
          <t>T19</t>
        </is>
      </c>
      <c r="M134" s="20" t="inlineStr">
        <is>
          <t>Incentive-compensation oversight; DFA 956 branch = open policy choice</t>
        </is>
      </c>
    </row>
    <row r="135" ht="23.85" customHeight="1" s="14">
      <c r="A135" s="20" t="inlineStr">
        <is>
          <t>b:INC-01</t>
        </is>
      </c>
      <c r="B135" s="20" t="inlineStr">
        <is>
          <t>Incentive compensation</t>
        </is>
      </c>
      <c r="C135" s="20" t="inlineStr">
        <is>
          <t xml:space="preserve">NOT IMPLEMENTED: section 956 directs the agencies to prohibit incentive compensation that encourages inappropriate risk </t>
        </is>
      </c>
      <c r="D135" s="20" t="inlineStr">
        <is>
          <t>12 U.S.C. 5641; 12 CFR part 236 (reserved)</t>
        </is>
      </c>
      <c r="E135" s="20" t="inlineStr">
        <is>
          <t>guidance</t>
        </is>
      </c>
      <c r="F135" s="20" t="inlineStr">
        <is>
          <t>both</t>
        </is>
      </c>
      <c r="G135" s="20" t="inlineStr">
        <is>
          <t>n/a (unimplemented)</t>
        </is>
      </c>
      <c r="H135" s="20" t="inlineStr">
        <is>
          <t>binding</t>
        </is>
      </c>
      <c r="I135" s="20" t="inlineStr">
        <is>
          <t>verified</t>
        </is>
      </c>
      <c r="J135" s="25" t="inlineStr">
        <is>
          <t>Open branch</t>
        </is>
      </c>
      <c r="K135" s="20" t="inlineStr">
        <is>
          <t>per-cluster package</t>
        </is>
      </c>
      <c r="L135" s="20" t="inlineStr">
        <is>
          <t>T19</t>
        </is>
      </c>
      <c r="M135" s="20" t="inlineStr">
        <is>
          <t>Incentive-compensation oversight; DFA 956 branch = open policy choice</t>
        </is>
      </c>
    </row>
    <row r="136" ht="23.85" customHeight="1" s="14">
      <c r="A136" s="20" t="inlineStr">
        <is>
          <t>b:IND-07</t>
        </is>
      </c>
      <c r="B136" s="20" t="inlineStr">
        <is>
          <t>Incentive compensation</t>
        </is>
      </c>
      <c r="C136" s="20" t="inlineStr">
        <is>
          <t>Compensation committee must be independent and may retain independent compensation advisers (with independence factors c</t>
        </is>
      </c>
      <c r="D136" s="20" t="inlineStr">
        <is>
          <t>15 U.S.C. 78j-3; 17 CFR 240.10C-1</t>
        </is>
      </c>
      <c r="E136" s="20" t="inlineStr">
        <is>
          <t>regulation</t>
        </is>
      </c>
      <c r="F136" s="20" t="inlineStr">
        <is>
          <t>BHC</t>
        </is>
      </c>
      <c r="G136" s="20" t="inlineStr">
        <is>
          <t>Compensation committee</t>
        </is>
      </c>
      <c r="H136" s="20" t="inlineStr">
        <is>
          <t>binding</t>
        </is>
      </c>
      <c r="I136" s="20" t="inlineStr">
        <is>
          <t>verified</t>
        </is>
      </c>
      <c r="J136" s="25" t="inlineStr">
        <is>
          <t>Open branch</t>
        </is>
      </c>
      <c r="K136" s="20" t="inlineStr">
        <is>
          <t>per-cluster package</t>
        </is>
      </c>
      <c r="L136" s="20" t="inlineStr">
        <is>
          <t>T19</t>
        </is>
      </c>
      <c r="M136" s="20" t="inlineStr">
        <is>
          <t>Incentive-compensation oversight; DFA 956 branch = open policy choice</t>
        </is>
      </c>
    </row>
    <row r="137" ht="35.05" customHeight="1" s="14">
      <c r="A137" s="20" t="inlineStr">
        <is>
          <t>s:BCG-08</t>
        </is>
      </c>
      <c r="B137" s="20" t="inlineStr">
        <is>
          <t>Incentive compensation</t>
        </is>
      </c>
      <c r="C137" s="20" t="inlineStr">
        <is>
          <t>The corporate governance/nominating committee establishes criteria and qualifications (including independence) for board</t>
        </is>
      </c>
      <c r="D137" s="20" t="inlineStr">
        <is>
          <t>Appendix C — Corporate governance/nominating committee</t>
        </is>
      </c>
      <c r="E137" s="20" t="inlineStr">
        <is>
          <t>guidance</t>
        </is>
      </c>
      <c r="F137" s="20" t="inlineStr">
        <is>
          <t>IDI</t>
        </is>
      </c>
      <c r="G137" s="20" t="inlineStr">
        <is>
          <t>Corporate governance/nominating committee</t>
        </is>
      </c>
      <c r="H137" s="20" t="inlineStr">
        <is>
          <t>supervisory</t>
        </is>
      </c>
      <c r="I137" s="22" t="inlineStr">
        <is>
          <t>unverified</t>
        </is>
      </c>
      <c r="J137" s="25" t="inlineStr">
        <is>
          <t>Open branch</t>
        </is>
      </c>
      <c r="K137" s="20" t="inlineStr">
        <is>
          <t>per-cluster package</t>
        </is>
      </c>
      <c r="L137" s="20" t="inlineStr">
        <is>
          <t>T19</t>
        </is>
      </c>
      <c r="M137" s="20" t="inlineStr">
        <is>
          <t>Incentive-compensation oversight; DFA 956 branch = open policy choice</t>
        </is>
      </c>
    </row>
    <row r="138" ht="23.85" customHeight="1" s="14">
      <c r="A138" s="20" t="inlineStr">
        <is>
          <t>s:BCG-11</t>
        </is>
      </c>
      <c r="B138" s="20" t="inlineStr">
        <is>
          <t>Incentive compensation</t>
        </is>
      </c>
      <c r="C138" s="20" t="inlineStr">
        <is>
          <t>Board or designated committee sets and periodically reevaluates director compensation; compensation should attract quali</t>
        </is>
      </c>
      <c r="D138" s="20" t="inlineStr">
        <is>
          <t>Director Compensation</t>
        </is>
      </c>
      <c r="E138" s="20" t="inlineStr">
        <is>
          <t>guidance</t>
        </is>
      </c>
      <c r="F138" s="20" t="inlineStr">
        <is>
          <t>IDI</t>
        </is>
      </c>
      <c r="G138" s="20" t="inlineStr">
        <is>
          <t>Board or designated committee</t>
        </is>
      </c>
      <c r="H138" s="20" t="inlineStr">
        <is>
          <t>supervisory</t>
        </is>
      </c>
      <c r="I138" s="20" t="inlineStr">
        <is>
          <t>verified</t>
        </is>
      </c>
      <c r="J138" s="25" t="inlineStr">
        <is>
          <t>Open branch</t>
        </is>
      </c>
      <c r="K138" s="20" t="inlineStr">
        <is>
          <t>per-cluster package</t>
        </is>
      </c>
      <c r="L138" s="20" t="inlineStr">
        <is>
          <t>T19</t>
        </is>
      </c>
      <c r="M138" s="20" t="inlineStr">
        <is>
          <t>Incentive-compensation oversight; DFA 956 branch = open policy choice</t>
        </is>
      </c>
    </row>
    <row r="139" ht="23.85" customHeight="1" s="14">
      <c r="A139" s="20" t="inlineStr">
        <is>
          <t>s:BCG-13</t>
        </is>
      </c>
      <c r="B139" s="20" t="inlineStr">
        <is>
          <t>Incentive compensation</t>
        </is>
      </c>
      <c r="C139" s="20" t="inlineStr">
        <is>
          <t>Directors should have access to employees, especially senior management, to avoid over-filtered information; the board a</t>
        </is>
      </c>
      <c r="D139" s="20" t="inlineStr">
        <is>
          <t>Access to Senior Management; Outside Advisors</t>
        </is>
      </c>
      <c r="E139" s="20" t="inlineStr">
        <is>
          <t>guidance</t>
        </is>
      </c>
      <c r="F139" s="20" t="inlineStr">
        <is>
          <t>IDI</t>
        </is>
      </c>
      <c r="G139" s="20" t="inlineStr">
        <is>
          <t>Directors; full board and committees</t>
        </is>
      </c>
      <c r="H139" s="20" t="inlineStr">
        <is>
          <t>supervisory</t>
        </is>
      </c>
      <c r="I139" s="22" t="inlineStr">
        <is>
          <t>unverified</t>
        </is>
      </c>
      <c r="J139" s="25" t="inlineStr">
        <is>
          <t>Open branch</t>
        </is>
      </c>
      <c r="K139" s="20" t="inlineStr">
        <is>
          <t>per-cluster package</t>
        </is>
      </c>
      <c r="L139" s="20" t="inlineStr">
        <is>
          <t>T19</t>
        </is>
      </c>
      <c r="M139" s="20" t="inlineStr">
        <is>
          <t>Incentive-compensation oversight; DFA 956 branch = open policy choice</t>
        </is>
      </c>
    </row>
    <row r="140" ht="57.45" customHeight="1" s="14">
      <c r="A140" s="20" t="inlineStr">
        <is>
          <t>s:INC-01</t>
        </is>
      </c>
      <c r="B140" s="20" t="inlineStr">
        <is>
          <t>Incentive compensation</t>
        </is>
      </c>
      <c r="C140" s="20" t="inlineStr">
        <is>
          <t>Board of a large banking organization should actively oversee the development and operation of the organization's incent</t>
        </is>
      </c>
      <c r="D140" s="20" t="inlineStr">
        <is>
          <t>Principle 3 (Strong Corporate Governance)</t>
        </is>
      </c>
      <c r="E140" s="20" t="inlineStr">
        <is>
          <t>guidance</t>
        </is>
      </c>
      <c r="F140" s="20" t="inlineStr">
        <is>
          <t>both</t>
        </is>
      </c>
      <c r="G140" s="20" t="inlineStr">
        <is>
          <t>Full board or delegated committee (compensation committee in practice)</t>
        </is>
      </c>
      <c r="H140" s="20" t="inlineStr">
        <is>
          <t>supervisory</t>
        </is>
      </c>
      <c r="I140" s="22" t="inlineStr">
        <is>
          <t>unverified</t>
        </is>
      </c>
      <c r="J140" s="25" t="inlineStr">
        <is>
          <t>Open branch</t>
        </is>
      </c>
      <c r="K140" s="20" t="inlineStr">
        <is>
          <t>per-cluster package</t>
        </is>
      </c>
      <c r="L140" s="20" t="inlineStr">
        <is>
          <t>T19</t>
        </is>
      </c>
      <c r="M140" s="20" t="inlineStr">
        <is>
          <t>Incentive-compensation oversight; DFA 956 branch = open policy choice</t>
        </is>
      </c>
    </row>
    <row r="141" ht="35.05" customHeight="1" s="14">
      <c r="A141" s="20" t="inlineStr">
        <is>
          <t>s:INC-02</t>
        </is>
      </c>
      <c r="B141" s="20" t="inlineStr">
        <is>
          <t>Incentive compensation</t>
        </is>
      </c>
      <c r="C141" s="20" t="inlineStr">
        <is>
          <t>Boards of directors, or their compensation committees, should regularly review the design and functioning of incentive-c</t>
        </is>
      </c>
      <c r="D141" s="20" t="inlineStr">
        <is>
          <t>Principle 3</t>
        </is>
      </c>
      <c r="E141" s="20" t="inlineStr">
        <is>
          <t>guidance</t>
        </is>
      </c>
      <c r="F141" s="20" t="inlineStr">
        <is>
          <t>both</t>
        </is>
      </c>
      <c r="G141" s="20" t="inlineStr">
        <is>
          <t>Full board or Compensation committee</t>
        </is>
      </c>
      <c r="H141" s="20" t="inlineStr">
        <is>
          <t>supervisory</t>
        </is>
      </c>
      <c r="I141" s="22" t="inlineStr">
        <is>
          <t>unverified</t>
        </is>
      </c>
      <c r="J141" s="25" t="inlineStr">
        <is>
          <t>Open branch</t>
        </is>
      </c>
      <c r="K141" s="20" t="inlineStr">
        <is>
          <t>per-cluster package</t>
        </is>
      </c>
      <c r="L141" s="20" t="inlineStr">
        <is>
          <t>T19</t>
        </is>
      </c>
      <c r="M141" s="20" t="inlineStr">
        <is>
          <t>Incentive-compensation oversight; DFA 956 branch = open policy choice</t>
        </is>
      </c>
    </row>
    <row r="142" ht="35.05" customHeight="1" s="14">
      <c r="A142" s="20" t="inlineStr">
        <is>
          <t>s:INC-03</t>
        </is>
      </c>
      <c r="B142" s="20" t="inlineStr">
        <is>
          <t>Incentive compensation</t>
        </is>
      </c>
      <c r="C142" s="20" t="inlineStr">
        <is>
          <t xml:space="preserve">Board should have, or have access to, a level of expertise and experience in risk-management and compensation practices </t>
        </is>
      </c>
      <c r="D142" s="20" t="inlineStr">
        <is>
          <t>Principle 3</t>
        </is>
      </c>
      <c r="E142" s="20" t="inlineStr">
        <is>
          <t>guidance</t>
        </is>
      </c>
      <c r="F142" s="20" t="inlineStr">
        <is>
          <t>both</t>
        </is>
      </c>
      <c r="G142" s="20" t="inlineStr">
        <is>
          <t>Full board (and compensation committee)</t>
        </is>
      </c>
      <c r="H142" s="20" t="inlineStr">
        <is>
          <t>supervisory</t>
        </is>
      </c>
      <c r="I142" s="22" t="inlineStr">
        <is>
          <t>unverified</t>
        </is>
      </c>
      <c r="J142" s="25" t="inlineStr">
        <is>
          <t>Open branch</t>
        </is>
      </c>
      <c r="K142" s="20" t="inlineStr">
        <is>
          <t>per-cluster package</t>
        </is>
      </c>
      <c r="L142" s="20" t="inlineStr">
        <is>
          <t>T19</t>
        </is>
      </c>
      <c r="M142" s="20" t="inlineStr">
        <is>
          <t>Incentive-compensation oversight; DFA 956 branch = open policy choice</t>
        </is>
      </c>
    </row>
    <row r="143" ht="23.85" customHeight="1" s="14">
      <c r="A143" s="20" t="inlineStr">
        <is>
          <t>s:INC-04</t>
        </is>
      </c>
      <c r="B143" s="20" t="inlineStr">
        <is>
          <t>Incentive compensation</t>
        </is>
      </c>
      <c r="C143" s="20" t="inlineStr">
        <is>
          <t>NOT IN FORCE: A sec. 956 final rule would impose board/committee duties over incentive-based compensation, but has never</t>
        </is>
      </c>
      <c r="D143" s="20" t="inlineStr">
        <is>
          <t>Proposed only</t>
        </is>
      </c>
      <c r="E143" s="20" t="inlineStr">
        <is>
          <t>guidance</t>
        </is>
      </c>
      <c r="F143" s="20" t="inlineStr">
        <is>
          <t>both</t>
        </is>
      </c>
      <c r="G143" s="20" t="inlineStr">
        <is>
          <t>n/a (proposed)</t>
        </is>
      </c>
      <c r="H143" s="20" t="inlineStr">
        <is>
          <t>supervisory</t>
        </is>
      </c>
      <c r="I143" s="22" t="inlineStr">
        <is>
          <t>unverified</t>
        </is>
      </c>
      <c r="J143" s="25" t="inlineStr">
        <is>
          <t>Open branch</t>
        </is>
      </c>
      <c r="K143" s="20" t="inlineStr">
        <is>
          <t>per-cluster package</t>
        </is>
      </c>
      <c r="L143" s="20" t="inlineStr">
        <is>
          <t>T19</t>
        </is>
      </c>
      <c r="M143" s="20" t="inlineStr">
        <is>
          <t>Incentive-compensation oversight; DFA 956 branch = open policy choice</t>
        </is>
      </c>
    </row>
    <row r="144" ht="35.05" customHeight="1" s="14">
      <c r="A144" s="20" t="inlineStr">
        <is>
          <t>s:INC-05</t>
        </is>
      </c>
      <c r="B144" s="20" t="inlineStr">
        <is>
          <t>Incentive compensation</t>
        </is>
      </c>
      <c r="C144" s="20" t="inlineStr">
        <is>
          <t>Board or appropriate committee reviews and approves the written talent-management program (development, recruitment, suc</t>
        </is>
      </c>
      <c r="D144" s="20" t="inlineStr">
        <is>
          <t>App. D, secs. III.E / II.L (Talent Management); III (Risk Governance Framework)</t>
        </is>
      </c>
      <c r="E144" s="20" t="inlineStr">
        <is>
          <t>regulation</t>
        </is>
      </c>
      <c r="F144" s="20" t="inlineStr">
        <is>
          <t>IDI</t>
        </is>
      </c>
      <c r="G144" s="20" t="inlineStr">
        <is>
          <t>Full board or appropriate committee</t>
        </is>
      </c>
      <c r="H144" s="20" t="inlineStr">
        <is>
          <t>supervisory</t>
        </is>
      </c>
      <c r="I144" s="20" t="inlineStr">
        <is>
          <t>verified</t>
        </is>
      </c>
      <c r="J144" s="25" t="inlineStr">
        <is>
          <t>Open branch</t>
        </is>
      </c>
      <c r="K144" s="20" t="inlineStr">
        <is>
          <t>per-cluster package</t>
        </is>
      </c>
      <c r="L144" s="20" t="inlineStr">
        <is>
          <t>T19</t>
        </is>
      </c>
      <c r="M144" s="20" t="inlineStr">
        <is>
          <t>Incentive-compensation oversight; DFA 956 branch = open policy choice</t>
        </is>
      </c>
    </row>
    <row r="145" ht="23.85" customHeight="1" s="14">
      <c r="A145" s="20" t="inlineStr">
        <is>
          <t>b:RGC-01</t>
        </is>
      </c>
      <c r="B145" s="20" t="inlineStr">
        <is>
          <t>Risk committee architecture</t>
        </is>
      </c>
      <c r="C145" s="20" t="inlineStr">
        <is>
          <t>Statutory requirement that a publicly traded BHC of the relevant size maintain a board risk committee; the statutory eng</t>
        </is>
      </c>
      <c r="D145" s="20" t="inlineStr">
        <is>
          <t>12 U.S.C. 5365(h)(1)</t>
        </is>
      </c>
      <c r="E145" s="20" t="inlineStr">
        <is>
          <t>statute</t>
        </is>
      </c>
      <c r="F145" s="20" t="inlineStr">
        <is>
          <t>BHC</t>
        </is>
      </c>
      <c r="G145" s="20" t="inlineStr">
        <is>
          <t>Risk committee</t>
        </is>
      </c>
      <c r="H145" s="20" t="inlineStr">
        <is>
          <t>binding</t>
        </is>
      </c>
      <c r="I145" s="20" t="inlineStr">
        <is>
          <t>verified</t>
        </is>
      </c>
      <c r="J145" s="21" t="inlineStr">
        <is>
          <t>Consolidated</t>
        </is>
      </c>
      <c r="K145" s="20" t="inlineStr">
        <is>
          <t>per-cluster package</t>
        </is>
      </c>
      <c r="L145" s="20" t="inlineStr">
        <is>
          <t>T2</t>
        </is>
      </c>
      <c r="M145" s="20" t="inlineStr">
        <is>
          <t>Risk committee — one consolidated standard + IDI certification</t>
        </is>
      </c>
    </row>
    <row r="146" ht="23.85" customHeight="1" s="14">
      <c r="A146" s="20" t="inlineStr">
        <is>
          <t>b:RGC-02</t>
        </is>
      </c>
      <c r="B146" s="20" t="inlineStr">
        <is>
          <t>Risk committee architecture</t>
        </is>
      </c>
      <c r="C146" s="20" t="inlineStr">
        <is>
          <t>Risk committee approves and periodically reviews the enterprise risk-management policies of the firm's global operations</t>
        </is>
      </c>
      <c r="D146" s="20" t="inlineStr">
        <is>
          <t>12 CFR 252.33(a)(1)</t>
        </is>
      </c>
      <c r="E146" s="20" t="inlineStr">
        <is>
          <t>regulation</t>
        </is>
      </c>
      <c r="F146" s="20" t="inlineStr">
        <is>
          <t>BHC</t>
        </is>
      </c>
      <c r="G146" s="20" t="inlineStr">
        <is>
          <t>Risk committee</t>
        </is>
      </c>
      <c r="H146" s="20" t="inlineStr">
        <is>
          <t>binding</t>
        </is>
      </c>
      <c r="I146" s="20" t="inlineStr">
        <is>
          <t>verified</t>
        </is>
      </c>
      <c r="J146" s="21" t="inlineStr">
        <is>
          <t>Consolidated</t>
        </is>
      </c>
      <c r="K146" s="20" t="inlineStr">
        <is>
          <t>per-cluster package</t>
        </is>
      </c>
      <c r="L146" s="20" t="inlineStr">
        <is>
          <t>T2</t>
        </is>
      </c>
      <c r="M146" s="20" t="inlineStr">
        <is>
          <t>Risk committee — one consolidated standard + IDI certification</t>
        </is>
      </c>
    </row>
    <row r="147" ht="23.85" customHeight="1" s="14">
      <c r="A147" s="20" t="inlineStr">
        <is>
          <t>b:RGC-03</t>
        </is>
      </c>
      <c r="B147" s="20" t="inlineStr">
        <is>
          <t>Risk committee architecture</t>
        </is>
      </c>
      <c r="C147" s="20" t="inlineStr">
        <is>
          <t>Risk committee must have a formal written charter approved by the board, be a standalone independent committee, report d</t>
        </is>
      </c>
      <c r="D147" s="20" t="inlineStr">
        <is>
          <t>12 CFR 252.33(a)(3)</t>
        </is>
      </c>
      <c r="E147" s="20" t="inlineStr">
        <is>
          <t>regulation</t>
        </is>
      </c>
      <c r="F147" s="20" t="inlineStr">
        <is>
          <t>BHC</t>
        </is>
      </c>
      <c r="G147" s="20" t="inlineStr">
        <is>
          <t>Risk committee</t>
        </is>
      </c>
      <c r="H147" s="20" t="inlineStr">
        <is>
          <t>binding</t>
        </is>
      </c>
      <c r="I147" s="20" t="inlineStr">
        <is>
          <t>verified</t>
        </is>
      </c>
      <c r="J147" s="21" t="inlineStr">
        <is>
          <t>Consolidated</t>
        </is>
      </c>
      <c r="K147" s="20" t="inlineStr">
        <is>
          <t>per-cluster package</t>
        </is>
      </c>
      <c r="L147" s="20" t="inlineStr">
        <is>
          <t>T2</t>
        </is>
      </c>
      <c r="M147" s="20" t="inlineStr">
        <is>
          <t>Risk committee — one consolidated standard + IDI certification</t>
        </is>
      </c>
    </row>
    <row r="148" ht="23.85" customHeight="1" s="14">
      <c r="A148" s="20" t="inlineStr">
        <is>
          <t>b:RGC-04</t>
        </is>
      </c>
      <c r="B148" s="20" t="inlineStr">
        <is>
          <t>Risk committee architecture</t>
        </is>
      </c>
      <c r="C148" s="20" t="inlineStr">
        <is>
          <t>Risk committee must receive and review reports from the chief risk officer at least quarterly.</t>
        </is>
      </c>
      <c r="D148" s="20" t="inlineStr">
        <is>
          <t>12 CFR 252.33(a)(3)(iv)</t>
        </is>
      </c>
      <c r="E148" s="20" t="inlineStr">
        <is>
          <t>regulation</t>
        </is>
      </c>
      <c r="F148" s="20" t="inlineStr">
        <is>
          <t>BHC</t>
        </is>
      </c>
      <c r="G148" s="20" t="inlineStr">
        <is>
          <t>Risk committee</t>
        </is>
      </c>
      <c r="H148" s="20" t="inlineStr">
        <is>
          <t>binding</t>
        </is>
      </c>
      <c r="I148" s="20" t="inlineStr">
        <is>
          <t>verified</t>
        </is>
      </c>
      <c r="J148" s="21" t="inlineStr">
        <is>
          <t>Consolidated</t>
        </is>
      </c>
      <c r="K148" s="20" t="inlineStr">
        <is>
          <t>per-cluster package</t>
        </is>
      </c>
      <c r="L148" s="20" t="inlineStr">
        <is>
          <t>T2</t>
        </is>
      </c>
      <c r="M148" s="20" t="inlineStr">
        <is>
          <t>Risk committee — one consolidated standard + IDI certification</t>
        </is>
      </c>
    </row>
    <row r="149" ht="23.85" customHeight="1" s="14">
      <c r="A149" s="20" t="inlineStr">
        <is>
          <t>b:RGC-05</t>
        </is>
      </c>
      <c r="B149" s="20" t="inlineStr">
        <is>
          <t>Risk committee architecture</t>
        </is>
      </c>
      <c r="C149" s="20" t="inlineStr">
        <is>
          <t>Risk committee must be chaired by an independent director who meets SEC/NYSE independence standards and has risk-managem</t>
        </is>
      </c>
      <c r="D149" s="20" t="inlineStr">
        <is>
          <t>12 CFR 252.33(a)(4)(ii)</t>
        </is>
      </c>
      <c r="E149" s="20" t="inlineStr">
        <is>
          <t>regulation</t>
        </is>
      </c>
      <c r="F149" s="20" t="inlineStr">
        <is>
          <t>BHC</t>
        </is>
      </c>
      <c r="G149" s="20" t="inlineStr">
        <is>
          <t>Risk committee</t>
        </is>
      </c>
      <c r="H149" s="20" t="inlineStr">
        <is>
          <t>binding</t>
        </is>
      </c>
      <c r="I149" s="20" t="inlineStr">
        <is>
          <t>verified</t>
        </is>
      </c>
      <c r="J149" s="21" t="inlineStr">
        <is>
          <t>Consolidated</t>
        </is>
      </c>
      <c r="K149" s="20" t="inlineStr">
        <is>
          <t>per-cluster package</t>
        </is>
      </c>
      <c r="L149" s="20" t="inlineStr">
        <is>
          <t>T2</t>
        </is>
      </c>
      <c r="M149" s="20" t="inlineStr">
        <is>
          <t>Risk committee — one consolidated standard + IDI certification</t>
        </is>
      </c>
    </row>
    <row r="150" ht="23.85" customHeight="1" s="14">
      <c r="A150" s="20" t="inlineStr">
        <is>
          <t>s:BCG-05</t>
        </is>
      </c>
      <c r="B150" s="20" t="inlineStr">
        <is>
          <t>Risk committee architecture</t>
        </is>
      </c>
      <c r="C150" s="20" t="inlineStr">
        <is>
          <t xml:space="preserve">The risk committee's primary responsibility is risk oversight: defining/confirming risk appetite; confirming strategic, </t>
        </is>
      </c>
      <c r="D150" s="20" t="inlineStr">
        <is>
          <t>Appendix C — Risk committee</t>
        </is>
      </c>
      <c r="E150" s="20" t="inlineStr">
        <is>
          <t>guidance</t>
        </is>
      </c>
      <c r="F150" s="20" t="inlineStr">
        <is>
          <t>IDI</t>
        </is>
      </c>
      <c r="G150" s="20" t="inlineStr">
        <is>
          <t>Risk committee</t>
        </is>
      </c>
      <c r="H150" s="20" t="inlineStr">
        <is>
          <t>supervisory</t>
        </is>
      </c>
      <c r="I150" s="22" t="inlineStr">
        <is>
          <t>unverified</t>
        </is>
      </c>
      <c r="J150" s="21" t="inlineStr">
        <is>
          <t>Consolidated</t>
        </is>
      </c>
      <c r="K150" s="20" t="inlineStr">
        <is>
          <t>per-cluster package</t>
        </is>
      </c>
      <c r="L150" s="20" t="inlineStr">
        <is>
          <t>T2</t>
        </is>
      </c>
      <c r="M150" s="20" t="inlineStr">
        <is>
          <t>Risk committee — one consolidated standard + IDI certification</t>
        </is>
      </c>
    </row>
    <row r="151" ht="23.85" customHeight="1" s="14">
      <c r="A151" s="20" t="inlineStr">
        <is>
          <t>b:ELG-01</t>
        </is>
      </c>
      <c r="B151" s="20" t="inlineStr">
        <is>
          <t>Director eligibility &amp; continuity</t>
        </is>
      </c>
      <c r="C151" s="20" t="inlineStr">
        <is>
          <t>A bank in troubled condition or not meeting minimum capital must give the agency 30 days' written notice before adding o</t>
        </is>
      </c>
      <c r="D151" s="20" t="inlineStr">
        <is>
          <t>12 U.S.C. 1831i; 12 CFR 225.71-.73; 12 CFR 5.51</t>
        </is>
      </c>
      <c r="E151" s="20" t="inlineStr">
        <is>
          <t>statute</t>
        </is>
      </c>
      <c r="F151" s="20" t="inlineStr">
        <is>
          <t>both</t>
        </is>
      </c>
      <c r="G151" s="20" t="inlineStr">
        <is>
          <t>Full board / institution</t>
        </is>
      </c>
      <c r="H151" s="20" t="inlineStr">
        <is>
          <t>binding</t>
        </is>
      </c>
      <c r="I151" s="20" t="inlineStr">
        <is>
          <t>verified</t>
        </is>
      </c>
      <c r="J151" s="21" t="inlineStr">
        <is>
          <t>Consolidated</t>
        </is>
      </c>
      <c r="K151" s="20" t="inlineStr">
        <is>
          <t>MERGE+CANONICALIZE_DEFINITION+RESOLVE_CROSS_REFERENCE</t>
        </is>
      </c>
      <c r="L151" s="20" t="inlineStr">
        <is>
          <t>T21</t>
        </is>
      </c>
      <c r="M151" s="20" t="inlineStr">
        <is>
          <t>Director nomination, eligibility &amp; continuity — one process, one notice procedure</t>
        </is>
      </c>
    </row>
    <row r="152" ht="23.85" customHeight="1" s="14">
      <c r="A152" s="20" t="inlineStr">
        <is>
          <t>b:ELG-02</t>
        </is>
      </c>
      <c r="B152" s="20" t="inlineStr">
        <is>
          <t>Director eligibility &amp; continuity</t>
        </is>
      </c>
      <c r="C152" s="20" t="inlineStr">
        <is>
          <t>Statutory disqualification: a person convicted of (or in pretrial diversion for) a crime involving dishonesty, breach of</t>
        </is>
      </c>
      <c r="D152" s="20" t="inlineStr">
        <is>
          <t>12 U.S.C. 1829; FDI Act §8(e), §8(g)</t>
        </is>
      </c>
      <c r="E152" s="20" t="inlineStr">
        <is>
          <t>statute</t>
        </is>
      </c>
      <c r="F152" s="20" t="inlineStr">
        <is>
          <t>both</t>
        </is>
      </c>
      <c r="G152" s="20" t="inlineStr">
        <is>
          <t>Each director</t>
        </is>
      </c>
      <c r="H152" s="20" t="inlineStr">
        <is>
          <t>binding</t>
        </is>
      </c>
      <c r="I152" s="20" t="inlineStr">
        <is>
          <t>verified</t>
        </is>
      </c>
      <c r="J152" s="21" t="inlineStr">
        <is>
          <t>Consolidated</t>
        </is>
      </c>
      <c r="K152" s="20" t="inlineStr">
        <is>
          <t>MERGE+CANONICALIZE_DEFINITION+RESOLVE_CROSS_REFERENCE</t>
        </is>
      </c>
      <c r="L152" s="20" t="inlineStr">
        <is>
          <t>T21</t>
        </is>
      </c>
      <c r="M152" s="20" t="inlineStr">
        <is>
          <t>Director nomination, eligibility &amp; continuity — one process, one notice procedure</t>
        </is>
      </c>
    </row>
    <row r="153" ht="23.85" customHeight="1" s="14">
      <c r="A153" s="20" t="inlineStr">
        <is>
          <t>b:ELG-03</t>
        </is>
      </c>
      <c r="B153" s="20" t="inlineStr">
        <is>
          <t>Director eligibility &amp; continuity</t>
        </is>
      </c>
      <c r="C153" s="20" t="inlineStr">
        <is>
          <t>The correctness of each Call Report (report of condition) must be attested by at least two directors (three for a nation</t>
        </is>
      </c>
      <c r="D153" s="20" t="inlineStr">
        <is>
          <t>FDI Act §7(a)(3); §7(j)</t>
        </is>
      </c>
      <c r="E153" s="20" t="inlineStr">
        <is>
          <t>statute</t>
        </is>
      </c>
      <c r="F153" s="20" t="inlineStr">
        <is>
          <t>IDI</t>
        </is>
      </c>
      <c r="G153" s="20" t="inlineStr">
        <is>
          <t>Designated directors</t>
        </is>
      </c>
      <c r="H153" s="20" t="inlineStr">
        <is>
          <t>binding</t>
        </is>
      </c>
      <c r="I153" s="22" t="inlineStr">
        <is>
          <t>unverified</t>
        </is>
      </c>
      <c r="J153" s="21" t="inlineStr">
        <is>
          <t>Consolidated</t>
        </is>
      </c>
      <c r="K153" s="20" t="inlineStr">
        <is>
          <t>MERGE+CANONICALIZE_DEFINITION+RESOLVE_CROSS_REFERENCE</t>
        </is>
      </c>
      <c r="L153" s="20" t="inlineStr">
        <is>
          <t>T21</t>
        </is>
      </c>
      <c r="M153" s="20" t="inlineStr">
        <is>
          <t>Director nomination, eligibility &amp; continuity — one process, one notice procedure</t>
        </is>
      </c>
    </row>
    <row r="154" ht="23.85" customHeight="1" s="14">
      <c r="A154" s="20" t="inlineStr">
        <is>
          <t>b:IND-02</t>
        </is>
      </c>
      <c r="B154" s="20" t="inlineStr">
        <is>
          <t>Director training</t>
        </is>
      </c>
      <c r="C154" s="20" t="inlineStr">
        <is>
          <t>Board must establish and adhere to a formal, ongoing training program for all directors.</t>
        </is>
      </c>
      <c r="D154" s="20" t="inlineStr">
        <is>
          <t>App. D, sec. III.E</t>
        </is>
      </c>
      <c r="E154" s="20" t="inlineStr">
        <is>
          <t>regulation</t>
        </is>
      </c>
      <c r="F154" s="20" t="inlineStr">
        <is>
          <t>IDI</t>
        </is>
      </c>
      <c r="G154" s="20" t="inlineStr">
        <is>
          <t>Full board</t>
        </is>
      </c>
      <c r="H154" s="20" t="inlineStr">
        <is>
          <t>binding</t>
        </is>
      </c>
      <c r="I154" s="20" t="inlineStr">
        <is>
          <t>verified</t>
        </is>
      </c>
      <c r="J154" s="21" t="inlineStr">
        <is>
          <t>Consolidated</t>
        </is>
      </c>
      <c r="K154" s="20" t="inlineStr">
        <is>
          <t>MERGE+DEEM_SATISFIED+RESOLVE_CROSS_REFERENCE</t>
        </is>
      </c>
      <c r="L154" s="20" t="inlineStr">
        <is>
          <t>T22</t>
        </is>
      </c>
      <c r="M154" s="20" t="inlineStr">
        <is>
          <t>One consolidated director-training program (BSA module preserves the floor)</t>
        </is>
      </c>
    </row>
    <row r="155" ht="23.85" customHeight="1" s="14">
      <c r="A155" s="20" t="inlineStr">
        <is>
          <t>s:GOV-25</t>
        </is>
      </c>
      <c r="B155" s="20" t="inlineStr">
        <is>
          <t>Director training</t>
        </is>
      </c>
      <c r="C155" s="20" t="inlineStr">
        <is>
          <t xml:space="preserve">Board establishes a formal, ongoing training program for all directors covering complex products/risks, applicable laws </t>
        </is>
      </c>
      <c r="D155" s="20" t="inlineStr">
        <is>
          <t>App. D, sec. III.E</t>
        </is>
      </c>
      <c r="E155" s="20" t="inlineStr">
        <is>
          <t>regulation</t>
        </is>
      </c>
      <c r="F155" s="20" t="inlineStr">
        <is>
          <t>IDI</t>
        </is>
      </c>
      <c r="G155" s="20" t="inlineStr">
        <is>
          <t>Full board</t>
        </is>
      </c>
      <c r="H155" s="20" t="inlineStr">
        <is>
          <t>supervisory</t>
        </is>
      </c>
      <c r="I155" s="20" t="inlineStr">
        <is>
          <t>verified</t>
        </is>
      </c>
      <c r="J155" s="21" t="inlineStr">
        <is>
          <t>Consolidated</t>
        </is>
      </c>
      <c r="K155" s="20" t="inlineStr">
        <is>
          <t>MERGE+DEEM_SATISFIED+RESOLVE_CROSS_REFERENCE</t>
        </is>
      </c>
      <c r="L155" s="20" t="inlineStr">
        <is>
          <t>T22</t>
        </is>
      </c>
      <c r="M155" s="20" t="inlineStr">
        <is>
          <t>One consolidated director-training program (BSA module preserves the floor)</t>
        </is>
      </c>
    </row>
    <row r="156" ht="23.85" customHeight="1" s="14">
      <c r="A156" s="20" t="inlineStr">
        <is>
          <t>b:TLA-01</t>
        </is>
      </c>
      <c r="B156" s="20" t="inlineStr">
        <is>
          <t>Unique structural duties</t>
        </is>
      </c>
      <c r="C156" s="20" t="inlineStr">
        <is>
          <t>Board oversight of compliance with external long-term debt and total loss-absorbing capacity (TLAC) requirements.</t>
        </is>
      </c>
      <c r="D156" s="20" t="inlineStr">
        <is>
          <t>12 CFR 252.62-252.63</t>
        </is>
      </c>
      <c r="E156" s="20" t="inlineStr">
        <is>
          <t>regulation</t>
        </is>
      </c>
      <c r="F156" s="20" t="inlineStr">
        <is>
          <t>BHC</t>
        </is>
      </c>
      <c r="G156" s="20" t="inlineStr">
        <is>
          <t>Full board</t>
        </is>
      </c>
      <c r="H156" s="20" t="inlineStr">
        <is>
          <t>binding</t>
        </is>
      </c>
      <c r="I156" s="20" t="inlineStr">
        <is>
          <t>verified</t>
        </is>
      </c>
      <c r="J156" s="24" t="inlineStr">
        <is>
          <t>Folded</t>
        </is>
      </c>
      <c r="K156" s="20" t="inlineStr">
        <is>
          <t>per-cluster package</t>
        </is>
      </c>
      <c r="L156" s="20" t="inlineStr">
        <is>
          <t>T23</t>
        </is>
      </c>
      <c r="M156" s="20" t="inlineStr">
        <is>
          <t>Board structure &amp; committee mechanics — stated once (G1/G4)</t>
        </is>
      </c>
    </row>
    <row r="157" ht="23.85" customHeight="1" s="14">
      <c r="A157" s="20" t="inlineStr">
        <is>
          <t>b:TLA-02</t>
        </is>
      </c>
      <c r="B157" s="20" t="inlineStr">
        <is>
          <t>Unique structural duties</t>
        </is>
      </c>
      <c r="C157" s="20" t="inlineStr">
        <is>
          <t>Board oversight of compliance with the clean-holding-company restrictions on the corporate practices of U.S. GSIBs.</t>
        </is>
      </c>
      <c r="D157" s="20" t="inlineStr">
        <is>
          <t>12 CFR 252.64</t>
        </is>
      </c>
      <c r="E157" s="20" t="inlineStr">
        <is>
          <t>regulation</t>
        </is>
      </c>
      <c r="F157" s="20" t="inlineStr">
        <is>
          <t>BHC</t>
        </is>
      </c>
      <c r="G157" s="20" t="inlineStr">
        <is>
          <t>Full board</t>
        </is>
      </c>
      <c r="H157" s="20" t="inlineStr">
        <is>
          <t>binding</t>
        </is>
      </c>
      <c r="I157" s="20" t="inlineStr">
        <is>
          <t>verified</t>
        </is>
      </c>
      <c r="J157" s="24" t="inlineStr">
        <is>
          <t>Folded</t>
        </is>
      </c>
      <c r="K157" s="20" t="inlineStr">
        <is>
          <t>per-cluster package</t>
        </is>
      </c>
      <c r="L157" s="20" t="inlineStr">
        <is>
          <t>T23</t>
        </is>
      </c>
      <c r="M157" s="20" t="inlineStr">
        <is>
          <t>Board structure &amp; committee mechanics — stated once (G1/G4)</t>
        </is>
      </c>
    </row>
    <row r="158" ht="23.85" customHeight="1" s="14">
      <c r="A158" s="20" t="inlineStr">
        <is>
          <t>b:TLA-03</t>
        </is>
      </c>
      <c r="B158" s="20" t="inlineStr">
        <is>
          <t>Unique structural duties</t>
        </is>
      </c>
      <c r="C158" s="20" t="inlineStr">
        <is>
          <t>Board oversight of compliance with single-counterparty credit-exposure limits.</t>
        </is>
      </c>
      <c r="D158" s="20" t="inlineStr">
        <is>
          <t>12 CFR 252.70-252.78</t>
        </is>
      </c>
      <c r="E158" s="20" t="inlineStr">
        <is>
          <t>regulation</t>
        </is>
      </c>
      <c r="F158" s="20" t="inlineStr">
        <is>
          <t>BHC</t>
        </is>
      </c>
      <c r="G158" s="20" t="inlineStr">
        <is>
          <t>Full board</t>
        </is>
      </c>
      <c r="H158" s="20" t="inlineStr">
        <is>
          <t>binding</t>
        </is>
      </c>
      <c r="I158" s="20" t="inlineStr">
        <is>
          <t>verified</t>
        </is>
      </c>
      <c r="J158" s="24" t="inlineStr">
        <is>
          <t>Folded</t>
        </is>
      </c>
      <c r="K158" s="20" t="inlineStr">
        <is>
          <t>per-cluster package</t>
        </is>
      </c>
      <c r="L158" s="20" t="inlineStr">
        <is>
          <t>T23</t>
        </is>
      </c>
      <c r="M158" s="20" t="inlineStr">
        <is>
          <t>Board structure &amp; committee mechanics — stated once (G1/G4)</t>
        </is>
      </c>
    </row>
    <row r="159" ht="23.85" customHeight="1" s="14">
      <c r="A159" s="20" t="inlineStr">
        <is>
          <t>b:VOL-01</t>
        </is>
      </c>
      <c r="B159" s="20" t="inlineStr">
        <is>
          <t>Unique structural duties</t>
        </is>
      </c>
      <c r="C159" s="20" t="inlineStr">
        <is>
          <t xml:space="preserve">Board must approve and oversee a Volcker Rule compliance program; for the largest firms the CEO must attest annually to </t>
        </is>
      </c>
      <c r="D159" s="20" t="inlineStr">
        <is>
          <t>12 U.S.C. 1851; 12 CFR part 248 (subpart D)</t>
        </is>
      </c>
      <c r="E159" s="20" t="inlineStr">
        <is>
          <t>regulation</t>
        </is>
      </c>
      <c r="F159" s="20" t="inlineStr">
        <is>
          <t>both</t>
        </is>
      </c>
      <c r="G159" s="20" t="inlineStr">
        <is>
          <t>Full board</t>
        </is>
      </c>
      <c r="H159" s="20" t="inlineStr">
        <is>
          <t>binding</t>
        </is>
      </c>
      <c r="I159" s="20" t="inlineStr">
        <is>
          <t>verified</t>
        </is>
      </c>
      <c r="J159" s="24" t="inlineStr">
        <is>
          <t>Folded</t>
        </is>
      </c>
      <c r="K159" s="20" t="inlineStr">
        <is>
          <t>per-cluster package</t>
        </is>
      </c>
      <c r="L159" s="20" t="inlineStr">
        <is>
          <t>T23</t>
        </is>
      </c>
      <c r="M159" s="20" t="inlineStr">
        <is>
          <t>Board structure &amp; committee mechanics — stated once (G1/G4)</t>
        </is>
      </c>
    </row>
    <row r="160" ht="23.85" customHeight="1" s="14">
      <c r="A160" s="20" t="inlineStr">
        <is>
          <t>b:SS-01</t>
        </is>
      </c>
      <c r="B160" s="20" t="inlineStr">
        <is>
          <t>Safety-and-soundness baseline</t>
        </is>
      </c>
      <c r="C160" s="20" t="inlineStr">
        <is>
          <t>Board-relevant operational and managerial standards: internal controls and information systems, internal audit, loan doc</t>
        </is>
      </c>
      <c r="D160" s="20" t="inlineStr">
        <is>
          <t>12 CFR part 30 App. A (OCC) / part 364 App. A (FDIC); FDI Act sec. 39</t>
        </is>
      </c>
      <c r="E160" s="20" t="inlineStr">
        <is>
          <t>enforceable_guideline</t>
        </is>
      </c>
      <c r="F160" s="20" t="inlineStr">
        <is>
          <t>IDI</t>
        </is>
      </c>
      <c r="G160" s="20" t="inlineStr">
        <is>
          <t>Full board; audit committee</t>
        </is>
      </c>
      <c r="H160" s="20" t="inlineStr">
        <is>
          <t>binding</t>
        </is>
      </c>
      <c r="I160" s="20" t="inlineStr">
        <is>
          <t>verified</t>
        </is>
      </c>
      <c r="J160" s="23" t="inlineStr">
        <is>
          <t>Retained</t>
        </is>
      </c>
      <c r="K160" s="20" t="inlineStr">
        <is>
          <t>per-cluster package</t>
        </is>
      </c>
      <c r="L160" s="20" t="inlineStr">
        <is>
          <t>T24</t>
        </is>
      </c>
      <c r="M160" s="20" t="inlineStr">
        <is>
          <t>Hold management accountable — the irreducible baseline duty, retained verbatim</t>
        </is>
      </c>
    </row>
    <row r="161" ht="23.85" customHeight="1" s="14">
      <c r="A161" s="20" t="inlineStr">
        <is>
          <t>b:RGC-06</t>
        </is>
      </c>
      <c r="B161" s="20" t="inlineStr">
        <is>
          <t>CRO / CRE appointment &amp; compensation</t>
        </is>
      </c>
      <c r="C161" s="20" t="inlineStr">
        <is>
          <t>Board must appoint a chief risk officer with experience managing risk at large, complex firms.</t>
        </is>
      </c>
      <c r="D161" s="20" t="inlineStr">
        <is>
          <t>12 CFR 252.33(b)(1)</t>
        </is>
      </c>
      <c r="E161" s="20" t="inlineStr">
        <is>
          <t>regulation</t>
        </is>
      </c>
      <c r="F161" s="20" t="inlineStr">
        <is>
          <t>BHC</t>
        </is>
      </c>
      <c r="G161" s="20" t="inlineStr">
        <is>
          <t>Full board</t>
        </is>
      </c>
      <c r="H161" s="20" t="inlineStr">
        <is>
          <t>binding</t>
        </is>
      </c>
      <c r="I161" s="20" t="inlineStr">
        <is>
          <t>verified</t>
        </is>
      </c>
      <c r="J161" s="21" t="inlineStr">
        <is>
          <t>Consolidated</t>
        </is>
      </c>
      <c r="K161" s="20" t="inlineStr">
        <is>
          <t>RELATE_OBLIGATION+MERGE+RESOLVE_CROSS_REFERENCE+FACTOR_EXCEPTION</t>
        </is>
      </c>
      <c r="L161" s="20" t="inlineStr">
        <is>
          <t>T3</t>
        </is>
      </c>
      <c r="M161" s="20" t="inlineStr">
        <is>
          <t>CRO appointment, removal &amp; compensation (one approval; CRE independence retained)</t>
        </is>
      </c>
    </row>
    <row r="162" ht="23.85" customHeight="1" s="14">
      <c r="A162" s="20" t="inlineStr">
        <is>
          <t>b:RGC-09</t>
        </is>
      </c>
      <c r="B162" s="20" t="inlineStr">
        <is>
          <t>CRO / CRE appointment &amp; compensation</t>
        </is>
      </c>
      <c r="C162" s="20" t="inlineStr">
        <is>
          <t>Board or risk committee approves the appointment, removal, and annual compensation of the chief risk executive(s).</t>
        </is>
      </c>
      <c r="D162" s="20" t="inlineStr">
        <is>
          <t>App. D, sec. I.E.7(c)</t>
        </is>
      </c>
      <c r="E162" s="20" t="inlineStr">
        <is>
          <t>regulation</t>
        </is>
      </c>
      <c r="F162" s="20" t="inlineStr">
        <is>
          <t>IDI</t>
        </is>
      </c>
      <c r="G162" s="20" t="inlineStr">
        <is>
          <t>Full board or risk committee</t>
        </is>
      </c>
      <c r="H162" s="20" t="inlineStr">
        <is>
          <t>binding</t>
        </is>
      </c>
      <c r="I162" s="20" t="inlineStr">
        <is>
          <t>verified</t>
        </is>
      </c>
      <c r="J162" s="21" t="inlineStr">
        <is>
          <t>Consolidated</t>
        </is>
      </c>
      <c r="K162" s="20" t="inlineStr">
        <is>
          <t>RELATE_OBLIGATION+MERGE+RESOLVE_CROSS_REFERENCE+FACTOR_EXCEPTION</t>
        </is>
      </c>
      <c r="L162" s="20" t="inlineStr">
        <is>
          <t>T3</t>
        </is>
      </c>
      <c r="M162" s="20" t="inlineStr">
        <is>
          <t>CRO appointment, removal &amp; compensation (one approval; CRE independence retained)</t>
        </is>
      </c>
    </row>
    <row r="163" ht="23.85" customHeight="1" s="14">
      <c r="A163" s="20" t="inlineStr">
        <is>
          <t>b:AUD-01</t>
        </is>
      </c>
      <c r="B163" s="20" t="inlineStr">
        <is>
          <t>Audit committee &amp; independence</t>
        </is>
      </c>
      <c r="C163" s="20" t="inlineStr">
        <is>
          <t>Insured institution must establish an audit committee composed entirely of outside directors.</t>
        </is>
      </c>
      <c r="D163" s="20" t="inlineStr">
        <is>
          <t>12 U.S.C. 1831m; 12 CFR 363.5</t>
        </is>
      </c>
      <c r="E163" s="20" t="inlineStr">
        <is>
          <t>regulation</t>
        </is>
      </c>
      <c r="F163" s="20" t="inlineStr">
        <is>
          <t>IDI</t>
        </is>
      </c>
      <c r="G163" s="20" t="inlineStr">
        <is>
          <t>Audit committee</t>
        </is>
      </c>
      <c r="H163" s="20" t="inlineStr">
        <is>
          <t>binding</t>
        </is>
      </c>
      <c r="I163" s="20" t="inlineStr">
        <is>
          <t>verified</t>
        </is>
      </c>
      <c r="J163" s="21" t="inlineStr">
        <is>
          <t>Consolidated</t>
        </is>
      </c>
      <c r="K163" s="20" t="inlineStr">
        <is>
          <t>per-cluster package</t>
        </is>
      </c>
      <c r="L163" s="20" t="inlineStr">
        <is>
          <t>T4-5</t>
        </is>
      </c>
      <c r="M163" s="20" t="inlineStr">
        <is>
          <t>One audit committee (single independence test); internal &amp; external audit oversight</t>
        </is>
      </c>
    </row>
    <row r="164" ht="23.85" customHeight="1" s="14">
      <c r="A164" s="20" t="inlineStr">
        <is>
          <t>b:AUD-02</t>
        </is>
      </c>
      <c r="B164" s="20" t="inlineStr">
        <is>
          <t>Audit committee &amp; independence</t>
        </is>
      </c>
      <c r="C164" s="20" t="inlineStr">
        <is>
          <t>Board must annually determine whether audit-committee members are independent of management.</t>
        </is>
      </c>
      <c r="D164" s="20" t="inlineStr">
        <is>
          <t>12 CFR 363.5(a); App. A</t>
        </is>
      </c>
      <c r="E164" s="20" t="inlineStr">
        <is>
          <t>regulation</t>
        </is>
      </c>
      <c r="F164" s="20" t="inlineStr">
        <is>
          <t>IDI</t>
        </is>
      </c>
      <c r="G164" s="20" t="inlineStr">
        <is>
          <t>Full board</t>
        </is>
      </c>
      <c r="H164" s="20" t="inlineStr">
        <is>
          <t>binding</t>
        </is>
      </c>
      <c r="I164" s="20" t="inlineStr">
        <is>
          <t>verified</t>
        </is>
      </c>
      <c r="J164" s="21" t="inlineStr">
        <is>
          <t>Consolidated</t>
        </is>
      </c>
      <c r="K164" s="20" t="inlineStr">
        <is>
          <t>per-cluster package</t>
        </is>
      </c>
      <c r="L164" s="20" t="inlineStr">
        <is>
          <t>T4-5</t>
        </is>
      </c>
      <c r="M164" s="20" t="inlineStr">
        <is>
          <t>One audit committee (single independence test); internal &amp; external audit oversight</t>
        </is>
      </c>
    </row>
    <row r="165" ht="23.85" customHeight="1" s="14">
      <c r="A165" s="20" t="inlineStr">
        <is>
          <t>b:AUD-03</t>
        </is>
      </c>
      <c r="B165" s="20" t="inlineStr">
        <is>
          <t>Audit committee &amp; independence</t>
        </is>
      </c>
      <c r="C165" s="20" t="inlineStr">
        <is>
          <t>For large IDIs, the audit committee must include members with banking/financial-management expertise, have access to its</t>
        </is>
      </c>
      <c r="D165" s="20" t="inlineStr">
        <is>
          <t>12 CFR 363.5(b)(2); App. A Guidelines 32, 34</t>
        </is>
      </c>
      <c r="E165" s="20" t="inlineStr">
        <is>
          <t>regulation</t>
        </is>
      </c>
      <c r="F165" s="20" t="inlineStr">
        <is>
          <t>IDI</t>
        </is>
      </c>
      <c r="G165" s="20" t="inlineStr">
        <is>
          <t>Audit committee</t>
        </is>
      </c>
      <c r="H165" s="20" t="inlineStr">
        <is>
          <t>binding</t>
        </is>
      </c>
      <c r="I165" s="20" t="inlineStr">
        <is>
          <t>verified</t>
        </is>
      </c>
      <c r="J165" s="21" t="inlineStr">
        <is>
          <t>Consolidated</t>
        </is>
      </c>
      <c r="K165" s="20" t="inlineStr">
        <is>
          <t>per-cluster package</t>
        </is>
      </c>
      <c r="L165" s="20" t="inlineStr">
        <is>
          <t>T4-5</t>
        </is>
      </c>
      <c r="M165" s="20" t="inlineStr">
        <is>
          <t>One audit committee (single independence test); internal &amp; external audit oversight</t>
        </is>
      </c>
    </row>
    <row r="166" ht="23.85" customHeight="1" s="14">
      <c r="A166" s="20" t="inlineStr">
        <is>
          <t>b:AUD-08</t>
        </is>
      </c>
      <c r="B166" s="20" t="inlineStr">
        <is>
          <t>Audit committee &amp; independence</t>
        </is>
      </c>
      <c r="C166" s="20" t="inlineStr">
        <is>
          <t>Audit committee approves the chief audit executive's appointment, removal, and compensation, and the internal-audit char</t>
        </is>
      </c>
      <c r="D166" s="20" t="inlineStr">
        <is>
          <t>App. D, secs. I.E.8(b),(c)</t>
        </is>
      </c>
      <c r="E166" s="20" t="inlineStr">
        <is>
          <t>regulation</t>
        </is>
      </c>
      <c r="F166" s="20" t="inlineStr">
        <is>
          <t>IDI</t>
        </is>
      </c>
      <c r="G166" s="20" t="inlineStr">
        <is>
          <t>Audit committee</t>
        </is>
      </c>
      <c r="H166" s="20" t="inlineStr">
        <is>
          <t>binding</t>
        </is>
      </c>
      <c r="I166" s="20" t="inlineStr">
        <is>
          <t>verified</t>
        </is>
      </c>
      <c r="J166" s="21" t="inlineStr">
        <is>
          <t>Consolidated</t>
        </is>
      </c>
      <c r="K166" s="20" t="inlineStr">
        <is>
          <t>per-cluster package</t>
        </is>
      </c>
      <c r="L166" s="20" t="inlineStr">
        <is>
          <t>T4-5</t>
        </is>
      </c>
      <c r="M166" s="20" t="inlineStr">
        <is>
          <t>One audit committee (single independence test); internal &amp; external audit oversight</t>
        </is>
      </c>
    </row>
    <row r="167" ht="23.85" customHeight="1" s="14">
      <c r="A167" s="20" t="inlineStr">
        <is>
          <t>b:FID-02</t>
        </is>
      </c>
      <c r="B167" s="20" t="inlineStr">
        <is>
          <t>Audit committee &amp; independence</t>
        </is>
      </c>
      <c r="C167" s="20" t="inlineStr">
        <is>
          <t>A fiduciary audit committee of directors (excluding officers significantly involved in fiduciary administration) must ar</t>
        </is>
      </c>
      <c r="D167" s="20" t="inlineStr">
        <is>
          <t>12 CFR 9.9</t>
        </is>
      </c>
      <c r="E167" s="20" t="inlineStr">
        <is>
          <t>regulation</t>
        </is>
      </c>
      <c r="F167" s="20" t="inlineStr">
        <is>
          <t>IDI</t>
        </is>
      </c>
      <c r="G167" s="20" t="inlineStr">
        <is>
          <t>Fiduciary audit committee</t>
        </is>
      </c>
      <c r="H167" s="20" t="inlineStr">
        <is>
          <t>binding</t>
        </is>
      </c>
      <c r="I167" s="20" t="inlineStr">
        <is>
          <t>verified</t>
        </is>
      </c>
      <c r="J167" s="21" t="inlineStr">
        <is>
          <t>Consolidated</t>
        </is>
      </c>
      <c r="K167" s="20" t="inlineStr">
        <is>
          <t>per-cluster package</t>
        </is>
      </c>
      <c r="L167" s="20" t="inlineStr">
        <is>
          <t>T4-5</t>
        </is>
      </c>
      <c r="M167" s="20" t="inlineStr">
        <is>
          <t>One audit committee (single independence test); internal &amp; external audit oversight</t>
        </is>
      </c>
    </row>
    <row r="168" ht="23.85" customHeight="1" s="14">
      <c r="A168" s="20" t="inlineStr">
        <is>
          <t>s:BCG-02</t>
        </is>
      </c>
      <c r="B168" s="20" t="inlineStr">
        <is>
          <t>Audit committee &amp; independence</t>
        </is>
      </c>
      <c r="C168" s="20" t="inlineStr">
        <is>
          <t>Audit committee oversees the audit program and confirms comprehensive coverage; holds management accountable for interna</t>
        </is>
      </c>
      <c r="D168" s="20" t="inlineStr">
        <is>
          <t>Appendix C — Audit committee</t>
        </is>
      </c>
      <c r="E168" s="20" t="inlineStr">
        <is>
          <t>guidance</t>
        </is>
      </c>
      <c r="F168" s="20" t="inlineStr">
        <is>
          <t>IDI</t>
        </is>
      </c>
      <c r="G168" s="20" t="inlineStr">
        <is>
          <t>Audit committee</t>
        </is>
      </c>
      <c r="H168" s="20" t="inlineStr">
        <is>
          <t>supervisory</t>
        </is>
      </c>
      <c r="I168" s="22" t="inlineStr">
        <is>
          <t>unverified</t>
        </is>
      </c>
      <c r="J168" s="21" t="inlineStr">
        <is>
          <t>Consolidated</t>
        </is>
      </c>
      <c r="K168" s="20" t="inlineStr">
        <is>
          <t>per-cluster package</t>
        </is>
      </c>
      <c r="L168" s="20" t="inlineStr">
        <is>
          <t>T4-5</t>
        </is>
      </c>
      <c r="M168" s="20" t="inlineStr">
        <is>
          <t>One audit committee (single independence test); internal &amp; external audit oversight</t>
        </is>
      </c>
    </row>
    <row r="169" ht="35.05" customHeight="1" s="14">
      <c r="A169" s="20" t="inlineStr">
        <is>
          <t>s:BCG-06</t>
        </is>
      </c>
      <c r="B169" s="20" t="inlineStr">
        <is>
          <t>Audit committee &amp; independence</t>
        </is>
      </c>
      <c r="C169" s="20" t="inlineStr">
        <is>
          <t xml:space="preserve">A bank with fiduciary (trust) powers must have a fiduciary audit committee (and typically administrative and investment </t>
        </is>
      </c>
      <c r="D169" s="20" t="inlineStr">
        <is>
          <t>Appendix C — Fiduciary committees</t>
        </is>
      </c>
      <c r="E169" s="20" t="inlineStr">
        <is>
          <t>guidance</t>
        </is>
      </c>
      <c r="F169" s="20" t="inlineStr">
        <is>
          <t>IDI</t>
        </is>
      </c>
      <c r="G169" s="20" t="inlineStr">
        <is>
          <t>Fiduciary committee; fiduciary audit committee</t>
        </is>
      </c>
      <c r="H169" s="20" t="inlineStr">
        <is>
          <t>supervisory</t>
        </is>
      </c>
      <c r="I169" s="20" t="inlineStr">
        <is>
          <t>verified</t>
        </is>
      </c>
      <c r="J169" s="21" t="inlineStr">
        <is>
          <t>Consolidated</t>
        </is>
      </c>
      <c r="K169" s="20" t="inlineStr">
        <is>
          <t>per-cluster package</t>
        </is>
      </c>
      <c r="L169" s="20" t="inlineStr">
        <is>
          <t>T4-5</t>
        </is>
      </c>
      <c r="M169" s="20" t="inlineStr">
        <is>
          <t>One audit committee (single independence test); internal &amp; external audit oversight</t>
        </is>
      </c>
    </row>
    <row r="170" ht="23.85" customHeight="1" s="14">
      <c r="A170" s="20" t="inlineStr">
        <is>
          <t>s:BCG-07</t>
        </is>
      </c>
      <c r="B170" s="20" t="inlineStr">
        <is>
          <t>Audit committee &amp; independence</t>
        </is>
      </c>
      <c r="C170" s="20" t="inlineStr">
        <is>
          <t>A compensation committee oversees the design and implementation of incentive-compensation arrangements; reviews/recommen</t>
        </is>
      </c>
      <c r="D170" s="20" t="inlineStr">
        <is>
          <t>Appendix C — Compensation committee</t>
        </is>
      </c>
      <c r="E170" s="20" t="inlineStr">
        <is>
          <t>guidance</t>
        </is>
      </c>
      <c r="F170" s="20" t="inlineStr">
        <is>
          <t>IDI</t>
        </is>
      </c>
      <c r="G170" s="20" t="inlineStr">
        <is>
          <t>Compensation committee</t>
        </is>
      </c>
      <c r="H170" s="20" t="inlineStr">
        <is>
          <t>supervisory</t>
        </is>
      </c>
      <c r="I170" s="22" t="inlineStr">
        <is>
          <t>unverified</t>
        </is>
      </c>
      <c r="J170" s="21" t="inlineStr">
        <is>
          <t>Consolidated</t>
        </is>
      </c>
      <c r="K170" s="20" t="inlineStr">
        <is>
          <t>per-cluster package</t>
        </is>
      </c>
      <c r="L170" s="20" t="inlineStr">
        <is>
          <t>T4-5</t>
        </is>
      </c>
      <c r="M170" s="20" t="inlineStr">
        <is>
          <t>One audit committee (single independence test); internal &amp; external audit oversight</t>
        </is>
      </c>
    </row>
    <row r="171" ht="35.05" customHeight="1" s="14">
      <c r="A171" s="20" t="inlineStr">
        <is>
          <t>s:BCG-14</t>
        </is>
      </c>
      <c r="B171" s="20" t="inlineStr">
        <is>
          <t>Audit committee &amp; independence</t>
        </is>
      </c>
      <c r="C171" s="20" t="inlineStr">
        <is>
          <t>For institutions over $3 billion, the audit committee should include members with banking or financial-management expert</t>
        </is>
      </c>
      <c r="D171" s="20" t="inlineStr">
        <is>
          <t>Audit committee composition; 12 CFR part 363 worksheet</t>
        </is>
      </c>
      <c r="E171" s="20" t="inlineStr">
        <is>
          <t>regulation</t>
        </is>
      </c>
      <c r="F171" s="20" t="inlineStr">
        <is>
          <t>IDI</t>
        </is>
      </c>
      <c r="G171" s="20" t="inlineStr">
        <is>
          <t>Audit committee; full board (independence determination)</t>
        </is>
      </c>
      <c r="H171" s="20" t="inlineStr">
        <is>
          <t>supervisory</t>
        </is>
      </c>
      <c r="I171" s="22" t="inlineStr">
        <is>
          <t>unverified</t>
        </is>
      </c>
      <c r="J171" s="21" t="inlineStr">
        <is>
          <t>Consolidated</t>
        </is>
      </c>
      <c r="K171" s="20" t="inlineStr">
        <is>
          <t>per-cluster package</t>
        </is>
      </c>
      <c r="L171" s="20" t="inlineStr">
        <is>
          <t>T4-5</t>
        </is>
      </c>
      <c r="M171" s="20" t="inlineStr">
        <is>
          <t>One audit committee (single independence test); internal &amp; external audit oversight</t>
        </is>
      </c>
    </row>
    <row r="172" ht="23.85" customHeight="1" s="14">
      <c r="A172" s="20" t="inlineStr">
        <is>
          <t>s:FDR-02</t>
        </is>
      </c>
      <c r="B172" s="20" t="inlineStr">
        <is>
          <t>Audit committee &amp; independence</t>
        </is>
      </c>
      <c r="C172" s="20" t="inlineStr">
        <is>
          <t>Directors should set a clear risk appetite, strategic focus, and objectives, and give final approval to written policies</t>
        </is>
      </c>
      <c r="D172" s="20" t="inlineStr">
        <is>
          <t>Management (local ll. ~12024-12054)</t>
        </is>
      </c>
      <c r="E172" s="20" t="inlineStr">
        <is>
          <t>guidance</t>
        </is>
      </c>
      <c r="F172" s="20" t="inlineStr">
        <is>
          <t>IDI</t>
        </is>
      </c>
      <c r="G172" s="20" t="inlineStr">
        <is>
          <t>Full board</t>
        </is>
      </c>
      <c r="H172" s="20" t="inlineStr">
        <is>
          <t>supervisory</t>
        </is>
      </c>
      <c r="I172" s="20" t="inlineStr">
        <is>
          <t>verified</t>
        </is>
      </c>
      <c r="J172" s="21" t="inlineStr">
        <is>
          <t>Consolidated</t>
        </is>
      </c>
      <c r="K172" s="20" t="inlineStr">
        <is>
          <t>per-cluster package</t>
        </is>
      </c>
      <c r="L172" s="20" t="inlineStr">
        <is>
          <t>T4-5</t>
        </is>
      </c>
      <c r="M172" s="20" t="inlineStr">
        <is>
          <t>One audit committee (single independence test); internal &amp; external audit oversight</t>
        </is>
      </c>
    </row>
    <row r="173" ht="23.85" customHeight="1" s="14">
      <c r="A173" s="20" t="inlineStr">
        <is>
          <t>s:FDR-04</t>
        </is>
      </c>
      <c r="B173" s="20" t="inlineStr">
        <is>
          <t>Audit committee &amp; independence</t>
        </is>
      </c>
      <c r="C173" s="20" t="inlineStr">
        <is>
          <t>Directors should receive relevant, accurate, concise written information at regular intervals and act on it; establish a</t>
        </is>
      </c>
      <c r="D173" s="20" t="inlineStr">
        <is>
          <t>Management (local ll. ~12170-12270)</t>
        </is>
      </c>
      <c r="E173" s="20" t="inlineStr">
        <is>
          <t>guidance</t>
        </is>
      </c>
      <c r="F173" s="20" t="inlineStr">
        <is>
          <t>IDI</t>
        </is>
      </c>
      <c r="G173" s="20" t="inlineStr">
        <is>
          <t>Full board; individual directors</t>
        </is>
      </c>
      <c r="H173" s="20" t="inlineStr">
        <is>
          <t>supervisory</t>
        </is>
      </c>
      <c r="I173" s="22" t="inlineStr">
        <is>
          <t>unverified</t>
        </is>
      </c>
      <c r="J173" s="21" t="inlineStr">
        <is>
          <t>Consolidated</t>
        </is>
      </c>
      <c r="K173" s="20" t="inlineStr">
        <is>
          <t>per-cluster package</t>
        </is>
      </c>
      <c r="L173" s="20" t="inlineStr">
        <is>
          <t>T4-5</t>
        </is>
      </c>
      <c r="M173" s="20" t="inlineStr">
        <is>
          <t>One audit committee (single independence test); internal &amp; external audit oversight</t>
        </is>
      </c>
    </row>
    <row r="174" ht="23.85" customHeight="1" s="14">
      <c r="A174" s="20" t="inlineStr">
        <is>
          <t>s:FDR-05</t>
        </is>
      </c>
      <c r="B174" s="20" t="inlineStr">
        <is>
          <t>Audit committee &amp; independence</t>
        </is>
      </c>
      <c r="C174" s="20" t="inlineStr">
        <is>
          <t>The CAMELS management-component rating evaluates the board's and management's ability to identify, measure, monitor, and</t>
        </is>
      </c>
      <c r="D174" s="20" t="inlineStr">
        <is>
          <t>Management component (local ll. ~1576-1607)</t>
        </is>
      </c>
      <c r="E174" s="20" t="inlineStr">
        <is>
          <t>guidance</t>
        </is>
      </c>
      <c r="F174" s="20" t="inlineStr">
        <is>
          <t>IDI</t>
        </is>
      </c>
      <c r="G174" s="20" t="inlineStr">
        <is>
          <t>Full board and management</t>
        </is>
      </c>
      <c r="H174" s="20" t="inlineStr">
        <is>
          <t>supervisory</t>
        </is>
      </c>
      <c r="I174" s="22" t="inlineStr">
        <is>
          <t>unverified</t>
        </is>
      </c>
      <c r="J174" s="21" t="inlineStr">
        <is>
          <t>Consolidated</t>
        </is>
      </c>
      <c r="K174" s="20" t="inlineStr">
        <is>
          <t>per-cluster package</t>
        </is>
      </c>
      <c r="L174" s="20" t="inlineStr">
        <is>
          <t>T4-5</t>
        </is>
      </c>
      <c r="M174" s="20" t="inlineStr">
        <is>
          <t>One audit committee (single independence test); internal &amp; external audit oversight</t>
        </is>
      </c>
    </row>
    <row r="175" ht="23.85" customHeight="1" s="14">
      <c r="A175" s="20" t="inlineStr">
        <is>
          <t>s:GOV-02</t>
        </is>
      </c>
      <c r="B175" s="20" t="inlineStr">
        <is>
          <t>Audit committee &amp; independence</t>
        </is>
      </c>
      <c r="C175" s="20" t="inlineStr">
        <is>
          <t>Board reviews and approves significant policies/programs/plans: capital plan, recovery and resolution plans, audit plan,</t>
        </is>
      </c>
      <c r="D175" s="20" t="inlineStr">
        <is>
          <t>Attachment, Attribute 1, p. 3, fns. 9-14</t>
        </is>
      </c>
      <c r="E175" s="20" t="inlineStr">
        <is>
          <t>guidance</t>
        </is>
      </c>
      <c r="F175" s="20" t="inlineStr">
        <is>
          <t>BHC</t>
        </is>
      </c>
      <c r="G175" s="20" t="inlineStr">
        <is>
          <t>Full board</t>
        </is>
      </c>
      <c r="H175" s="20" t="inlineStr">
        <is>
          <t>supervisory</t>
        </is>
      </c>
      <c r="I175" s="22" t="inlineStr">
        <is>
          <t>unverified</t>
        </is>
      </c>
      <c r="J175" s="21" t="inlineStr">
        <is>
          <t>Consolidated</t>
        </is>
      </c>
      <c r="K175" s="20" t="inlineStr">
        <is>
          <t>per-cluster package</t>
        </is>
      </c>
      <c r="L175" s="20" t="inlineStr">
        <is>
          <t>T4-5</t>
        </is>
      </c>
      <c r="M175" s="20" t="inlineStr">
        <is>
          <t>One audit committee (single independence test); internal &amp; external audit oversight</t>
        </is>
      </c>
    </row>
    <row r="176" ht="46.25" customHeight="1" s="14">
      <c r="A176" s="20" t="inlineStr">
        <is>
          <t>s:GOV-08</t>
        </is>
      </c>
      <c r="B176" s="20" t="inlineStr">
        <is>
          <t>Audit committee &amp; independence</t>
        </is>
      </c>
      <c r="C176" s="20" t="inlineStr">
        <is>
          <t>Board approves financial and nonfinancial performance objectives for the CEO and business-line executives, and nonfinanc</t>
        </is>
      </c>
      <c r="D176" s="20" t="inlineStr">
        <is>
          <t>Attachment, Attribute 3, p. 5</t>
        </is>
      </c>
      <c r="E176" s="20" t="inlineStr">
        <is>
          <t>guidance</t>
        </is>
      </c>
      <c r="F176" s="20" t="inlineStr">
        <is>
          <t>BHC</t>
        </is>
      </c>
      <c r="G176" s="20" t="inlineStr">
        <is>
          <t>Full board (compensation committee in practice)</t>
        </is>
      </c>
      <c r="H176" s="20" t="inlineStr">
        <is>
          <t>supervisory</t>
        </is>
      </c>
      <c r="I176" s="20" t="inlineStr">
        <is>
          <t>verified</t>
        </is>
      </c>
      <c r="J176" s="21" t="inlineStr">
        <is>
          <t>Consolidated</t>
        </is>
      </c>
      <c r="K176" s="20" t="inlineStr">
        <is>
          <t>per-cluster package</t>
        </is>
      </c>
      <c r="L176" s="20" t="inlineStr">
        <is>
          <t>T4-5</t>
        </is>
      </c>
      <c r="M176" s="20" t="inlineStr">
        <is>
          <t>One audit committee (single independence test); internal &amp; external audit oversight</t>
        </is>
      </c>
    </row>
    <row r="177" ht="23.85" customHeight="1" s="14">
      <c r="A177" s="20" t="inlineStr">
        <is>
          <t>s:GOV-11</t>
        </is>
      </c>
      <c r="B177" s="20" t="inlineStr">
        <is>
          <t>Audit committee &amp; independence</t>
        </is>
      </c>
      <c r="C177" s="20" t="inlineStr">
        <is>
          <t>Risk committee communicates directly with the CRO; oversees IRM budget/staffing/controls; coordinates with compliance; p</t>
        </is>
      </c>
      <c r="D177" s="20" t="inlineStr">
        <is>
          <t>Attachment, Attribute 4, p. 6</t>
        </is>
      </c>
      <c r="E177" s="20" t="inlineStr">
        <is>
          <t>guidance</t>
        </is>
      </c>
      <c r="F177" s="20" t="inlineStr">
        <is>
          <t>BHC</t>
        </is>
      </c>
      <c r="G177" s="20" t="inlineStr">
        <is>
          <t>Risk committee</t>
        </is>
      </c>
      <c r="H177" s="20" t="inlineStr">
        <is>
          <t>supervisory</t>
        </is>
      </c>
      <c r="I177" s="22" t="inlineStr">
        <is>
          <t>unverified</t>
        </is>
      </c>
      <c r="J177" s="21" t="inlineStr">
        <is>
          <t>Consolidated</t>
        </is>
      </c>
      <c r="K177" s="20" t="inlineStr">
        <is>
          <t>per-cluster package</t>
        </is>
      </c>
      <c r="L177" s="20" t="inlineStr">
        <is>
          <t>T4-5</t>
        </is>
      </c>
      <c r="M177" s="20" t="inlineStr">
        <is>
          <t>One audit committee (single independence test); internal &amp; external audit oversight</t>
        </is>
      </c>
    </row>
    <row r="178" ht="23.85" customHeight="1" s="14">
      <c r="A178" s="20" t="inlineStr">
        <is>
          <t>s:GOV-12</t>
        </is>
      </c>
      <c r="B178" s="20" t="inlineStr">
        <is>
          <t>Audit committee &amp; independence</t>
        </is>
      </c>
      <c r="C178" s="20" t="inlineStr">
        <is>
          <t xml:space="preserve">Audit committee meets directly with the CAE; supports internal-audit budget and staffing; reviews status of remediation </t>
        </is>
      </c>
      <c r="D178" s="20" t="inlineStr">
        <is>
          <t>Attachment, Attribute 4, p. 6</t>
        </is>
      </c>
      <c r="E178" s="20" t="inlineStr">
        <is>
          <t>guidance</t>
        </is>
      </c>
      <c r="F178" s="20" t="inlineStr">
        <is>
          <t>BHC</t>
        </is>
      </c>
      <c r="G178" s="20" t="inlineStr">
        <is>
          <t>Audit committee</t>
        </is>
      </c>
      <c r="H178" s="20" t="inlineStr">
        <is>
          <t>supervisory</t>
        </is>
      </c>
      <c r="I178" s="20" t="inlineStr">
        <is>
          <t>verified</t>
        </is>
      </c>
      <c r="J178" s="21" t="inlineStr">
        <is>
          <t>Consolidated</t>
        </is>
      </c>
      <c r="K178" s="20" t="inlineStr">
        <is>
          <t>per-cluster package</t>
        </is>
      </c>
      <c r="L178" s="20" t="inlineStr">
        <is>
          <t>T4-5</t>
        </is>
      </c>
      <c r="M178" s="20" t="inlineStr">
        <is>
          <t>One audit committee (single independence test); internal &amp; external audit oversight</t>
        </is>
      </c>
    </row>
    <row r="179" ht="23.85" customHeight="1" s="14">
      <c r="A179" s="20" t="inlineStr">
        <is>
          <t>s:GOV-22</t>
        </is>
      </c>
      <c r="B179" s="20" t="inlineStr">
        <is>
          <t>Audit committee &amp; independence</t>
        </is>
      </c>
      <c r="C179" s="20" t="inlineStr">
        <is>
          <t>Board provides active oversight of management's risk-taking and holds management accountable; may rely on IRM and intern</t>
        </is>
      </c>
      <c r="D179" s="20" t="inlineStr">
        <is>
          <t>App. D, sec. III.B</t>
        </is>
      </c>
      <c r="E179" s="20" t="inlineStr">
        <is>
          <t>regulation</t>
        </is>
      </c>
      <c r="F179" s="20" t="inlineStr">
        <is>
          <t>IDI</t>
        </is>
      </c>
      <c r="G179" s="20" t="inlineStr">
        <is>
          <t>Full board</t>
        </is>
      </c>
      <c r="H179" s="20" t="inlineStr">
        <is>
          <t>supervisory</t>
        </is>
      </c>
      <c r="I179" s="20" t="inlineStr">
        <is>
          <t>verified</t>
        </is>
      </c>
      <c r="J179" s="21" t="inlineStr">
        <is>
          <t>Consolidated</t>
        </is>
      </c>
      <c r="K179" s="20" t="inlineStr">
        <is>
          <t>per-cluster package</t>
        </is>
      </c>
      <c r="L179" s="20" t="inlineStr">
        <is>
          <t>T4-5</t>
        </is>
      </c>
      <c r="M179" s="20" t="inlineStr">
        <is>
          <t>One audit committee (single independence test); internal &amp; external audit oversight</t>
        </is>
      </c>
    </row>
    <row r="180" ht="23.85" customHeight="1" s="14">
      <c r="A180" s="20" t="inlineStr">
        <is>
          <t>s:GOV-31</t>
        </is>
      </c>
      <c r="B180" s="20" t="inlineStr">
        <is>
          <t>Audit committee &amp; independence</t>
        </is>
      </c>
      <c r="C180" s="20" t="inlineStr">
        <is>
          <t>Institution maintains internal controls and information systems with clear lines of authority, effective risk assessment</t>
        </is>
      </c>
      <c r="D180" s="20" t="inlineStr">
        <is>
          <t>App. A, secs. II.A, II.B.7</t>
        </is>
      </c>
      <c r="E180" s="20" t="inlineStr">
        <is>
          <t>regulation</t>
        </is>
      </c>
      <c r="F180" s="20" t="inlineStr">
        <is>
          <t>both</t>
        </is>
      </c>
      <c r="G180" s="20" t="inlineStr">
        <is>
          <t>Full board; Audit committee</t>
        </is>
      </c>
      <c r="H180" s="20" t="inlineStr">
        <is>
          <t>supervisory</t>
        </is>
      </c>
      <c r="I180" s="20" t="inlineStr">
        <is>
          <t>verified</t>
        </is>
      </c>
      <c r="J180" s="21" t="inlineStr">
        <is>
          <t>Consolidated</t>
        </is>
      </c>
      <c r="K180" s="20" t="inlineStr">
        <is>
          <t>per-cluster package</t>
        </is>
      </c>
      <c r="L180" s="20" t="inlineStr">
        <is>
          <t>T4-5</t>
        </is>
      </c>
      <c r="M180" s="20" t="inlineStr">
        <is>
          <t>One audit committee (single independence test); internal &amp; external audit oversight</t>
        </is>
      </c>
    </row>
    <row r="181" ht="23.85" customHeight="1" s="14">
      <c r="A181" s="20" t="inlineStr">
        <is>
          <t>s:IAU-01</t>
        </is>
      </c>
      <c r="B181" s="20" t="inlineStr">
        <is>
          <t>Audit committee &amp; independence</t>
        </is>
      </c>
      <c r="C181" s="20" t="inlineStr">
        <is>
          <t>The chief audit executive should report functionally to the audit committee on the audit plan, audit findings, and the C</t>
        </is>
      </c>
      <c r="D181" s="20" t="inlineStr">
        <is>
          <t>Attachment, p. (local ll. 195-217)</t>
        </is>
      </c>
      <c r="E181" s="20" t="inlineStr">
        <is>
          <t>guidance</t>
        </is>
      </c>
      <c r="F181" s="20" t="inlineStr">
        <is>
          <t>BHC</t>
        </is>
      </c>
      <c r="G181" s="20" t="inlineStr">
        <is>
          <t>Audit committee</t>
        </is>
      </c>
      <c r="H181" s="20" t="inlineStr">
        <is>
          <t>supervisory</t>
        </is>
      </c>
      <c r="I181" s="20" t="inlineStr">
        <is>
          <t>verified</t>
        </is>
      </c>
      <c r="J181" s="21" t="inlineStr">
        <is>
          <t>Consolidated</t>
        </is>
      </c>
      <c r="K181" s="20" t="inlineStr">
        <is>
          <t>per-cluster package</t>
        </is>
      </c>
      <c r="L181" s="20" t="inlineStr">
        <is>
          <t>T4-5</t>
        </is>
      </c>
      <c r="M181" s="20" t="inlineStr">
        <is>
          <t>One audit committee (single independence test); internal &amp; external audit oversight</t>
        </is>
      </c>
    </row>
    <row r="182" ht="23.85" customHeight="1" s="14">
      <c r="A182" s="20" t="inlineStr">
        <is>
          <t>s:IAU-02</t>
        </is>
      </c>
      <c r="B182" s="20" t="inlineStr">
        <is>
          <t>Audit committee &amp; independence</t>
        </is>
      </c>
      <c r="C182" s="20" t="inlineStr">
        <is>
          <t xml:space="preserve">Where the CAE reports administratively to someone other than the CEO, the audit committee should document its rationale </t>
        </is>
      </c>
      <c r="D182" s="20" t="inlineStr">
        <is>
          <t>Attachment, p. (local ll. 209-217)</t>
        </is>
      </c>
      <c r="E182" s="20" t="inlineStr">
        <is>
          <t>guidance</t>
        </is>
      </c>
      <c r="F182" s="20" t="inlineStr">
        <is>
          <t>BHC</t>
        </is>
      </c>
      <c r="G182" s="20" t="inlineStr">
        <is>
          <t>Audit committee</t>
        </is>
      </c>
      <c r="H182" s="20" t="inlineStr">
        <is>
          <t>supervisory</t>
        </is>
      </c>
      <c r="I182" s="20" t="inlineStr">
        <is>
          <t>verified</t>
        </is>
      </c>
      <c r="J182" s="21" t="inlineStr">
        <is>
          <t>Consolidated</t>
        </is>
      </c>
      <c r="K182" s="20" t="inlineStr">
        <is>
          <t>per-cluster package</t>
        </is>
      </c>
      <c r="L182" s="20" t="inlineStr">
        <is>
          <t>T4-5</t>
        </is>
      </c>
      <c r="M182" s="20" t="inlineStr">
        <is>
          <t>One audit committee (single independence test); internal &amp; external audit oversight</t>
        </is>
      </c>
    </row>
    <row r="183" ht="23.85" customHeight="1" s="14">
      <c r="A183" s="20" t="inlineStr">
        <is>
          <t>s:IAU-03</t>
        </is>
      </c>
      <c r="B183" s="20" t="inlineStr">
        <is>
          <t>Audit committee &amp; independence</t>
        </is>
      </c>
      <c r="C183" s="20" t="inlineStr">
        <is>
          <t>Responsibility for an effective system of internal controls cannot be delegated to a third party; where internal audit i</t>
        </is>
      </c>
      <c r="D183" s="20" t="inlineStr">
        <is>
          <t>Attachment, p. (local ll. 599-623)</t>
        </is>
      </c>
      <c r="E183" s="20" t="inlineStr">
        <is>
          <t>guidance</t>
        </is>
      </c>
      <c r="F183" s="20" t="inlineStr">
        <is>
          <t>BHC</t>
        </is>
      </c>
      <c r="G183" s="20" t="inlineStr">
        <is>
          <t>Audit committee</t>
        </is>
      </c>
      <c r="H183" s="20" t="inlineStr">
        <is>
          <t>supervisory</t>
        </is>
      </c>
      <c r="I183" s="22" t="inlineStr">
        <is>
          <t>unverified</t>
        </is>
      </c>
      <c r="J183" s="21" t="inlineStr">
        <is>
          <t>Consolidated</t>
        </is>
      </c>
      <c r="K183" s="20" t="inlineStr">
        <is>
          <t>per-cluster package</t>
        </is>
      </c>
      <c r="L183" s="20" t="inlineStr">
        <is>
          <t>T4-5</t>
        </is>
      </c>
      <c r="M183" s="20" t="inlineStr">
        <is>
          <t>One audit committee (single independence test); internal &amp; external audit oversight</t>
        </is>
      </c>
    </row>
    <row r="184" ht="23.85" customHeight="1" s="14">
      <c r="A184" s="20" t="inlineStr">
        <is>
          <t>b:AUD-04</t>
        </is>
      </c>
      <c r="B184" s="20" t="inlineStr">
        <is>
          <t>Internal control over financial reporting</t>
        </is>
      </c>
      <c r="C184" s="20" t="inlineStr">
        <is>
          <t xml:space="preserve">Audit committee oversees the independent public accountant and reviews management's ICFR assessment and compliance with </t>
        </is>
      </c>
      <c r="D184" s="20" t="inlineStr">
        <is>
          <t>12 CFR 363.2, 363.3; App. A Guideline 31</t>
        </is>
      </c>
      <c r="E184" s="20" t="inlineStr">
        <is>
          <t>regulation</t>
        </is>
      </c>
      <c r="F184" s="20" t="inlineStr">
        <is>
          <t>IDI</t>
        </is>
      </c>
      <c r="G184" s="20" t="inlineStr">
        <is>
          <t>Audit committee</t>
        </is>
      </c>
      <c r="H184" s="20" t="inlineStr">
        <is>
          <t>binding</t>
        </is>
      </c>
      <c r="I184" s="20" t="inlineStr">
        <is>
          <t>verified</t>
        </is>
      </c>
      <c r="J184" s="21" t="inlineStr">
        <is>
          <t>Consolidated</t>
        </is>
      </c>
      <c r="K184" s="20" t="inlineStr">
        <is>
          <t>per-cluster package</t>
        </is>
      </c>
      <c r="L184" s="20" t="inlineStr">
        <is>
          <t>T6</t>
        </is>
      </c>
      <c r="M184" s="20" t="inlineStr">
        <is>
          <t>ICFR oversight — SOX 404(b) deemed to satisfy Part 363, designated-laws annex</t>
        </is>
      </c>
    </row>
    <row r="185" ht="23.85" customHeight="1" s="14">
      <c r="A185" s="20" t="inlineStr">
        <is>
          <t>b:AUD-05</t>
        </is>
      </c>
      <c r="B185" s="20" t="inlineStr">
        <is>
          <t>Internal control over financial reporting</t>
        </is>
      </c>
      <c r="C185" s="20" t="inlineStr">
        <is>
          <t>Management's annual assessment of internal control over financial reporting, overseen by the board through the audit com</t>
        </is>
      </c>
      <c r="D185" s="20" t="inlineStr">
        <is>
          <t>SOX sec. 404(a); 15 U.S.C. 7262(a)</t>
        </is>
      </c>
      <c r="E185" s="20" t="inlineStr">
        <is>
          <t>statute</t>
        </is>
      </c>
      <c r="F185" s="20" t="inlineStr">
        <is>
          <t>BHC</t>
        </is>
      </c>
      <c r="G185" s="20" t="inlineStr">
        <is>
          <t>Audit committee</t>
        </is>
      </c>
      <c r="H185" s="20" t="inlineStr">
        <is>
          <t>binding</t>
        </is>
      </c>
      <c r="I185" s="20" t="inlineStr">
        <is>
          <t>verified</t>
        </is>
      </c>
      <c r="J185" s="21" t="inlineStr">
        <is>
          <t>Consolidated</t>
        </is>
      </c>
      <c r="K185" s="20" t="inlineStr">
        <is>
          <t>per-cluster package</t>
        </is>
      </c>
      <c r="L185" s="20" t="inlineStr">
        <is>
          <t>T6</t>
        </is>
      </c>
      <c r="M185" s="20" t="inlineStr">
        <is>
          <t>ICFR oversight — SOX 404(b) deemed to satisfy Part 363, designated-laws annex</t>
        </is>
      </c>
    </row>
    <row r="186" ht="23.85" customHeight="1" s="14">
      <c r="A186" s="20" t="inlineStr">
        <is>
          <t>b:AUD-06</t>
        </is>
      </c>
      <c r="B186" s="20" t="inlineStr">
        <is>
          <t>Internal control over financial reporting</t>
        </is>
      </c>
      <c r="C186" s="20" t="inlineStr">
        <is>
          <t>External auditor attestation on management's ICFR assessment.</t>
        </is>
      </c>
      <c r="D186" s="20" t="inlineStr">
        <is>
          <t>SOX sec. 404(b); 15 U.S.C. 7262(b)</t>
        </is>
      </c>
      <c r="E186" s="20" t="inlineStr">
        <is>
          <t>statute</t>
        </is>
      </c>
      <c r="F186" s="20" t="inlineStr">
        <is>
          <t>BHC</t>
        </is>
      </c>
      <c r="G186" s="20" t="inlineStr">
        <is>
          <t>Audit committee</t>
        </is>
      </c>
      <c r="H186" s="20" t="inlineStr">
        <is>
          <t>binding</t>
        </is>
      </c>
      <c r="I186" s="20" t="inlineStr">
        <is>
          <t>verified</t>
        </is>
      </c>
      <c r="J186" s="21" t="inlineStr">
        <is>
          <t>Consolidated</t>
        </is>
      </c>
      <c r="K186" s="20" t="inlineStr">
        <is>
          <t>per-cluster package</t>
        </is>
      </c>
      <c r="L186" s="20" t="inlineStr">
        <is>
          <t>T6</t>
        </is>
      </c>
      <c r="M186" s="20" t="inlineStr">
        <is>
          <t>ICFR oversight — SOX 404(b) deemed to satisfy Part 363, designated-laws annex</t>
        </is>
      </c>
    </row>
    <row r="187" ht="23.85" customHeight="1" s="14">
      <c r="A187" s="20" t="inlineStr">
        <is>
          <t>b:AUD-07</t>
        </is>
      </c>
      <c r="B187" s="20" t="inlineStr">
        <is>
          <t>Internal control over financial reporting</t>
        </is>
      </c>
      <c r="C187" s="20" t="inlineStr">
        <is>
          <t>CEO/CFO quarterly certification of financial reports, overseen by the audit committee.</t>
        </is>
      </c>
      <c r="D187" s="20" t="inlineStr">
        <is>
          <t>SOX sec. 302; 17 CFR 240.13a-14</t>
        </is>
      </c>
      <c r="E187" s="20" t="inlineStr">
        <is>
          <t>regulation</t>
        </is>
      </c>
      <c r="F187" s="20" t="inlineStr">
        <is>
          <t>BHC</t>
        </is>
      </c>
      <c r="G187" s="20" t="inlineStr">
        <is>
          <t>Audit committee</t>
        </is>
      </c>
      <c r="H187" s="20" t="inlineStr">
        <is>
          <t>binding</t>
        </is>
      </c>
      <c r="I187" s="20" t="inlineStr">
        <is>
          <t>verified</t>
        </is>
      </c>
      <c r="J187" s="21" t="inlineStr">
        <is>
          <t>Consolidated</t>
        </is>
      </c>
      <c r="K187" s="20" t="inlineStr">
        <is>
          <t>per-cluster package</t>
        </is>
      </c>
      <c r="L187" s="20" t="inlineStr">
        <is>
          <t>T6</t>
        </is>
      </c>
      <c r="M187" s="20" t="inlineStr">
        <is>
          <t>ICFR oversight — SOX 404(b) deemed to satisfy Part 363, designated-laws annex</t>
        </is>
      </c>
    </row>
    <row r="188" ht="23.85" customHeight="1" s="14">
      <c r="A188" s="20" t="inlineStr">
        <is>
          <t>b:FID-01</t>
        </is>
      </c>
      <c r="B188" s="20" t="inlineStr">
        <is>
          <t>Fiduciary (trust) governance</t>
        </is>
      </c>
      <c r="C188" s="20" t="inlineStr">
        <is>
          <t>The bank's fiduciary activities must be managed by or under the direction of its board, and the board must adopt written</t>
        </is>
      </c>
      <c r="D188" s="20" t="inlineStr">
        <is>
          <t>12 CFR 9.4(a); 12 CFR 9.5; 12 CFR part 150</t>
        </is>
      </c>
      <c r="E188" s="20" t="inlineStr">
        <is>
          <t>regulation</t>
        </is>
      </c>
      <c r="F188" s="20" t="inlineStr">
        <is>
          <t>IDI</t>
        </is>
      </c>
      <c r="G188" s="20" t="inlineStr">
        <is>
          <t>Full board</t>
        </is>
      </c>
      <c r="H188" s="20" t="inlineStr">
        <is>
          <t>binding</t>
        </is>
      </c>
      <c r="I188" s="20" t="inlineStr">
        <is>
          <t>verified</t>
        </is>
      </c>
      <c r="J188" s="21" t="inlineStr">
        <is>
          <t>Consolidated</t>
        </is>
      </c>
      <c r="K188" s="20" t="inlineStr">
        <is>
          <t>DEEM_SATISFIED</t>
        </is>
      </c>
      <c r="L188" s="20" t="inlineStr">
        <is>
          <t>T7</t>
        </is>
      </c>
      <c r="M188" s="20" t="inlineStr">
        <is>
          <t>Fiduciary audit via the audit committee where composition overlaps</t>
        </is>
      </c>
    </row>
    <row r="189" ht="23.85" customHeight="1" s="14">
      <c r="A189" s="20" t="inlineStr">
        <is>
          <t>b:FID-03</t>
        </is>
      </c>
      <c r="B189" s="20" t="inlineStr">
        <is>
          <t>Fiduciary (trust) governance</t>
        </is>
      </c>
      <c r="C189" s="20" t="inlineStr">
        <is>
          <t>Collective investment funds must operate under a board-approved written plan; fiduciary assets must be held in the joint</t>
        </is>
      </c>
      <c r="D189" s="20" t="inlineStr">
        <is>
          <t>12 CFR 9.18(b)(1); 12 CFR 9.13(a)</t>
        </is>
      </c>
      <c r="E189" s="20" t="inlineStr">
        <is>
          <t>regulation</t>
        </is>
      </c>
      <c r="F189" s="20" t="inlineStr">
        <is>
          <t>IDI</t>
        </is>
      </c>
      <c r="G189" s="20" t="inlineStr">
        <is>
          <t>Full board</t>
        </is>
      </c>
      <c r="H189" s="20" t="inlineStr">
        <is>
          <t>binding</t>
        </is>
      </c>
      <c r="I189" s="20" t="inlineStr">
        <is>
          <t>verified</t>
        </is>
      </c>
      <c r="J189" s="21" t="inlineStr">
        <is>
          <t>Consolidated</t>
        </is>
      </c>
      <c r="K189" s="20" t="inlineStr">
        <is>
          <t>DEEM_SATISFIED</t>
        </is>
      </c>
      <c r="L189" s="20" t="inlineStr">
        <is>
          <t>T7</t>
        </is>
      </c>
      <c r="M189" s="20" t="inlineStr">
        <is>
          <t>Fiduciary audit via the audit committee where composition overlaps</t>
        </is>
      </c>
    </row>
    <row r="190" ht="23.85" customHeight="1" s="14">
      <c r="A190" s="20" t="inlineStr">
        <is>
          <t>b:CAP-01</t>
        </is>
      </c>
      <c r="B190" s="20" t="inlineStr">
        <is>
          <t>Capital planning &amp; stress testing</t>
        </is>
      </c>
      <c r="C190" s="20" t="inlineStr">
        <is>
          <t>Board oversight that the firm's stress-testing framework is adequate and integrated into capital planning.</t>
        </is>
      </c>
      <c r="D190" s="20" t="inlineStr">
        <is>
          <t>12 U.S.C. 5365(i)</t>
        </is>
      </c>
      <c r="E190" s="20" t="inlineStr">
        <is>
          <t>statute</t>
        </is>
      </c>
      <c r="F190" s="20" t="inlineStr">
        <is>
          <t>BHC</t>
        </is>
      </c>
      <c r="G190" s="20" t="inlineStr">
        <is>
          <t>Full board</t>
        </is>
      </c>
      <c r="H190" s="20" t="inlineStr">
        <is>
          <t>binding</t>
        </is>
      </c>
      <c r="I190" s="20" t="inlineStr">
        <is>
          <t>verified</t>
        </is>
      </c>
      <c r="J190" s="21" t="inlineStr">
        <is>
          <t>Consolidated</t>
        </is>
      </c>
      <c r="K190" s="20" t="inlineStr">
        <is>
          <t>per-cluster package</t>
        </is>
      </c>
      <c r="L190" s="20" t="inlineStr">
        <is>
          <t>T8</t>
        </is>
      </c>
      <c r="M190" s="20" t="inlineStr">
        <is>
          <t>Capital plan, policy &amp; actions approval; methodology as reporting</t>
        </is>
      </c>
    </row>
    <row r="191" ht="35.05" customHeight="1" s="14">
      <c r="A191" s="20" t="inlineStr">
        <is>
          <t>b:CAP-02</t>
        </is>
      </c>
      <c r="B191" s="20" t="inlineStr">
        <is>
          <t>Capital planning &amp; stress testing</t>
        </is>
      </c>
      <c r="C191" s="20" t="inlineStr">
        <is>
          <t>Board or a designated committee must, at least annually and before submission, review the robustness of the capital-adeq</t>
        </is>
      </c>
      <c r="D191" s="20" t="inlineStr">
        <is>
          <t>12 CFR 225.8(e)(1)(iii)</t>
        </is>
      </c>
      <c r="E191" s="20" t="inlineStr">
        <is>
          <t>regulation</t>
        </is>
      </c>
      <c r="F191" s="20" t="inlineStr">
        <is>
          <t>BHC</t>
        </is>
      </c>
      <c r="G191" s="20" t="inlineStr">
        <is>
          <t>Full board or designated committee</t>
        </is>
      </c>
      <c r="H191" s="20" t="inlineStr">
        <is>
          <t>binding</t>
        </is>
      </c>
      <c r="I191" s="20" t="inlineStr">
        <is>
          <t>verified</t>
        </is>
      </c>
      <c r="J191" s="21" t="inlineStr">
        <is>
          <t>Consolidated</t>
        </is>
      </c>
      <c r="K191" s="20" t="inlineStr">
        <is>
          <t>per-cluster package</t>
        </is>
      </c>
      <c r="L191" s="20" t="inlineStr">
        <is>
          <t>T8</t>
        </is>
      </c>
      <c r="M191" s="20" t="inlineStr">
        <is>
          <t>Capital plan, policy &amp; actions approval; methodology as reporting</t>
        </is>
      </c>
    </row>
    <row r="192" ht="35.05" customHeight="1" s="14">
      <c r="A192" s="20" t="inlineStr">
        <is>
          <t>b:CAP-03</t>
        </is>
      </c>
      <c r="B192" s="20" t="inlineStr">
        <is>
          <t>Capital planning &amp; stress testing</t>
        </is>
      </c>
      <c r="C192" s="20" t="inlineStr">
        <is>
          <t>The capital plan must contain a board-approved capital policy.</t>
        </is>
      </c>
      <c r="D192" s="20" t="inlineStr">
        <is>
          <t>12 CFR 225.8(d)</t>
        </is>
      </c>
      <c r="E192" s="20" t="inlineStr">
        <is>
          <t>regulation</t>
        </is>
      </c>
      <c r="F192" s="20" t="inlineStr">
        <is>
          <t>BHC</t>
        </is>
      </c>
      <c r="G192" s="20" t="inlineStr">
        <is>
          <t>Full board or designated committee</t>
        </is>
      </c>
      <c r="H192" s="20" t="inlineStr">
        <is>
          <t>binding</t>
        </is>
      </c>
      <c r="I192" s="20" t="inlineStr">
        <is>
          <t>verified</t>
        </is>
      </c>
      <c r="J192" s="21" t="inlineStr">
        <is>
          <t>Consolidated</t>
        </is>
      </c>
      <c r="K192" s="20" t="inlineStr">
        <is>
          <t>per-cluster package</t>
        </is>
      </c>
      <c r="L192" s="20" t="inlineStr">
        <is>
          <t>T8</t>
        </is>
      </c>
      <c r="M192" s="20" t="inlineStr">
        <is>
          <t>Capital plan, policy &amp; actions approval; methodology as reporting</t>
        </is>
      </c>
    </row>
    <row r="193" ht="23.85" customHeight="1" s="14">
      <c r="A193" s="20" t="inlineStr">
        <is>
          <t>b:CAP-04</t>
        </is>
      </c>
      <c r="B193" s="20" t="inlineStr">
        <is>
          <t>Capital planning &amp; stress testing</t>
        </is>
      </c>
      <c r="C193" s="20" t="inlineStr">
        <is>
          <t>Board (and senior management) oversee the company-run stress-testing processes and results.</t>
        </is>
      </c>
      <c r="D193" s="20" t="inlineStr">
        <is>
          <t>12 CFR 252.54</t>
        </is>
      </c>
      <c r="E193" s="20" t="inlineStr">
        <is>
          <t>regulation</t>
        </is>
      </c>
      <c r="F193" s="20" t="inlineStr">
        <is>
          <t>BHC</t>
        </is>
      </c>
      <c r="G193" s="20" t="inlineStr">
        <is>
          <t>Full board</t>
        </is>
      </c>
      <c r="H193" s="20" t="inlineStr">
        <is>
          <t>binding</t>
        </is>
      </c>
      <c r="I193" s="20" t="inlineStr">
        <is>
          <t>verified</t>
        </is>
      </c>
      <c r="J193" s="21" t="inlineStr">
        <is>
          <t>Consolidated</t>
        </is>
      </c>
      <c r="K193" s="20" t="inlineStr">
        <is>
          <t>per-cluster package</t>
        </is>
      </c>
      <c r="L193" s="20" t="inlineStr">
        <is>
          <t>T8</t>
        </is>
      </c>
      <c r="M193" s="20" t="inlineStr">
        <is>
          <t>Capital plan, policy &amp; actions approval; methodology as reporting</t>
        </is>
      </c>
    </row>
    <row r="194" ht="23.85" customHeight="1" s="14">
      <c r="A194" s="20" t="inlineStr">
        <is>
          <t>b:CAP-05</t>
        </is>
      </c>
      <c r="B194" s="20" t="inlineStr">
        <is>
          <t>Capital planning &amp; stress testing</t>
        </is>
      </c>
      <c r="C194" s="20" t="inlineStr">
        <is>
          <t>Board (firm) must ensure submission of the data required for the Federal Reserve's supervisory stress tests.</t>
        </is>
      </c>
      <c r="D194" s="20" t="inlineStr">
        <is>
          <t>12 CFR 252.44</t>
        </is>
      </c>
      <c r="E194" s="20" t="inlineStr">
        <is>
          <t>regulation</t>
        </is>
      </c>
      <c r="F194" s="20" t="inlineStr">
        <is>
          <t>BHC</t>
        </is>
      </c>
      <c r="G194" s="20" t="inlineStr">
        <is>
          <t>Full board</t>
        </is>
      </c>
      <c r="H194" s="20" t="inlineStr">
        <is>
          <t>binding</t>
        </is>
      </c>
      <c r="I194" s="20" t="inlineStr">
        <is>
          <t>verified</t>
        </is>
      </c>
      <c r="J194" s="21" t="inlineStr">
        <is>
          <t>Consolidated</t>
        </is>
      </c>
      <c r="K194" s="20" t="inlineStr">
        <is>
          <t>per-cluster package</t>
        </is>
      </c>
      <c r="L194" s="20" t="inlineStr">
        <is>
          <t>T8</t>
        </is>
      </c>
      <c r="M194" s="20" t="inlineStr">
        <is>
          <t>Capital plan, policy &amp; actions approval; methodology as reporting</t>
        </is>
      </c>
    </row>
    <row r="195" ht="23.85" customHeight="1" s="14">
      <c r="A195" s="20" t="inlineStr">
        <is>
          <t>s:CAP-01</t>
        </is>
      </c>
      <c r="B195" s="20" t="inlineStr">
        <is>
          <t>Capital planning &amp; stress testing</t>
        </is>
      </c>
      <c r="C195" s="20" t="inlineStr">
        <is>
          <t>Board is ultimately responsible and accountable for the firm's capital-related decisions and for capital planning; capit</t>
        </is>
      </c>
      <c r="D195" s="20" t="inlineStr">
        <is>
          <t>Attachment, sec. III.A.1 (Board of Directors), p. 3</t>
        </is>
      </c>
      <c r="E195" s="20" t="inlineStr">
        <is>
          <t>guidance</t>
        </is>
      </c>
      <c r="F195" s="20" t="inlineStr">
        <is>
          <t>BHC</t>
        </is>
      </c>
      <c r="G195" s="20" t="inlineStr">
        <is>
          <t>Full board</t>
        </is>
      </c>
      <c r="H195" s="20" t="inlineStr">
        <is>
          <t>supervisory</t>
        </is>
      </c>
      <c r="I195" s="20" t="inlineStr">
        <is>
          <t>verified</t>
        </is>
      </c>
      <c r="J195" s="21" t="inlineStr">
        <is>
          <t>Consolidated</t>
        </is>
      </c>
      <c r="K195" s="20" t="inlineStr">
        <is>
          <t>per-cluster package</t>
        </is>
      </c>
      <c r="L195" s="20" t="inlineStr">
        <is>
          <t>T8</t>
        </is>
      </c>
      <c r="M195" s="20" t="inlineStr">
        <is>
          <t>Capital plan, policy &amp; actions approval; methodology as reporting</t>
        </is>
      </c>
    </row>
    <row r="196" ht="23.85" customHeight="1" s="14">
      <c r="A196" s="20" t="inlineStr">
        <is>
          <t>s:CAP-02</t>
        </is>
      </c>
      <c r="B196" s="20" t="inlineStr">
        <is>
          <t>Capital planning &amp; stress testing</t>
        </is>
      </c>
      <c r="C196" s="20" t="inlineStr">
        <is>
          <t>Board must annually review and approve the firm's capital plan.</t>
        </is>
      </c>
      <c r="D196" s="20" t="inlineStr">
        <is>
          <t>Attachment, sec. III.A.1, p. 3, fn. 8 (cites 12 CFR 225.8(e)(1)(iii))</t>
        </is>
      </c>
      <c r="E196" s="20" t="inlineStr">
        <is>
          <t>regulation</t>
        </is>
      </c>
      <c r="F196" s="20" t="inlineStr">
        <is>
          <t>BHC</t>
        </is>
      </c>
      <c r="G196" s="20" t="inlineStr">
        <is>
          <t>Full board</t>
        </is>
      </c>
      <c r="H196" s="20" t="inlineStr">
        <is>
          <t>supervisory</t>
        </is>
      </c>
      <c r="I196" s="20" t="inlineStr">
        <is>
          <t>verified</t>
        </is>
      </c>
      <c r="J196" s="21" t="inlineStr">
        <is>
          <t>Consolidated</t>
        </is>
      </c>
      <c r="K196" s="20" t="inlineStr">
        <is>
          <t>per-cluster package</t>
        </is>
      </c>
      <c r="L196" s="20" t="inlineStr">
        <is>
          <t>T8</t>
        </is>
      </c>
      <c r="M196" s="20" t="inlineStr">
        <is>
          <t>Capital plan, policy &amp; actions approval; methodology as reporting</t>
        </is>
      </c>
    </row>
    <row r="197" ht="35.05" customHeight="1" s="14">
      <c r="A197" s="20" t="inlineStr">
        <is>
          <t>s:CAP-03</t>
        </is>
      </c>
      <c r="B197" s="20" t="inlineStr">
        <is>
          <t>Capital planning &amp; stress testing</t>
        </is>
      </c>
      <c r="C197" s="20" t="inlineStr">
        <is>
          <t>Board should direct senior management to provide a briefing on capital adequacy at least quarterly (more often as warran</t>
        </is>
      </c>
      <c r="D197" s="20" t="inlineStr">
        <is>
          <t>Attachment, sec. III.A.1, pp. 3-4; sec. III.A 'Differences in Expectations', p. 5</t>
        </is>
      </c>
      <c r="E197" s="20" t="inlineStr">
        <is>
          <t>guidance</t>
        </is>
      </c>
      <c r="F197" s="20" t="inlineStr">
        <is>
          <t>BHC</t>
        </is>
      </c>
      <c r="G197" s="20" t="inlineStr">
        <is>
          <t>Full board</t>
        </is>
      </c>
      <c r="H197" s="20" t="inlineStr">
        <is>
          <t>supervisory</t>
        </is>
      </c>
      <c r="I197" s="20" t="inlineStr">
        <is>
          <t>verified</t>
        </is>
      </c>
      <c r="J197" s="21" t="inlineStr">
        <is>
          <t>Consolidated</t>
        </is>
      </c>
      <c r="K197" s="20" t="inlineStr">
        <is>
          <t>per-cluster package</t>
        </is>
      </c>
      <c r="L197" s="20" t="inlineStr">
        <is>
          <t>T8</t>
        </is>
      </c>
      <c r="M197" s="20" t="inlineStr">
        <is>
          <t>Capital plan, policy &amp; actions approval; methodology as reporting</t>
        </is>
      </c>
    </row>
    <row r="198" ht="23.85" customHeight="1" s="14">
      <c r="A198" s="20" t="inlineStr">
        <is>
          <t>s:CAP-04</t>
        </is>
      </c>
      <c r="B198" s="20" t="inlineStr">
        <is>
          <t>Capital planning &amp; stress testing</t>
        </is>
      </c>
      <c r="C198" s="20" t="inlineStr">
        <is>
          <t xml:space="preserve">Board should hold senior management accountable for providing sufficient information on material risks and exposures to </t>
        </is>
      </c>
      <c r="D198" s="20" t="inlineStr">
        <is>
          <t>Attachment, sec. III.A.1, p. 4</t>
        </is>
      </c>
      <c r="E198" s="20" t="inlineStr">
        <is>
          <t>guidance</t>
        </is>
      </c>
      <c r="F198" s="20" t="inlineStr">
        <is>
          <t>BHC</t>
        </is>
      </c>
      <c r="G198" s="20" t="inlineStr">
        <is>
          <t>Full board</t>
        </is>
      </c>
      <c r="H198" s="20" t="inlineStr">
        <is>
          <t>supervisory</t>
        </is>
      </c>
      <c r="I198" s="20" t="inlineStr">
        <is>
          <t>verified</t>
        </is>
      </c>
      <c r="J198" s="21" t="inlineStr">
        <is>
          <t>Consolidated</t>
        </is>
      </c>
      <c r="K198" s="20" t="inlineStr">
        <is>
          <t>per-cluster package</t>
        </is>
      </c>
      <c r="L198" s="20" t="inlineStr">
        <is>
          <t>T8</t>
        </is>
      </c>
      <c r="M198" s="20" t="inlineStr">
        <is>
          <t>Capital plan, policy &amp; actions approval; methodology as reporting</t>
        </is>
      </c>
    </row>
    <row r="199" ht="57.45" customHeight="1" s="14">
      <c r="A199" s="20" t="inlineStr">
        <is>
          <t>s:CAP-05</t>
        </is>
      </c>
      <c r="B199" s="20" t="inlineStr">
        <is>
          <t>Capital planning &amp; stress testing</t>
        </is>
      </c>
      <c r="C199" s="20" t="inlineStr">
        <is>
          <t>Board approves capital-planning policies and reviews them annually, and approves capital planning activities and strateg</t>
        </is>
      </c>
      <c r="D199" s="20" t="inlineStr">
        <is>
          <t>Attachment, sec. III.A.1, p. 4; sec. III.D (Capital Policy), p. 11, fn. 18 (cites 225.8(e)(1)(iii))</t>
        </is>
      </c>
      <c r="E199" s="20" t="inlineStr">
        <is>
          <t>regulation</t>
        </is>
      </c>
      <c r="F199" s="20" t="inlineStr">
        <is>
          <t>BHC</t>
        </is>
      </c>
      <c r="G199" s="20" t="inlineStr">
        <is>
          <t>Full board (capital policy may be delegated to a designated committee)</t>
        </is>
      </c>
      <c r="H199" s="20" t="inlineStr">
        <is>
          <t>supervisory</t>
        </is>
      </c>
      <c r="I199" s="22" t="inlineStr">
        <is>
          <t>unverified</t>
        </is>
      </c>
      <c r="J199" s="21" t="inlineStr">
        <is>
          <t>Consolidated</t>
        </is>
      </c>
      <c r="K199" s="20" t="inlineStr">
        <is>
          <t>per-cluster package</t>
        </is>
      </c>
      <c r="L199" s="20" t="inlineStr">
        <is>
          <t>T8</t>
        </is>
      </c>
      <c r="M199" s="20" t="inlineStr">
        <is>
          <t>Capital plan, policy &amp; actions approval; methodology as reporting</t>
        </is>
      </c>
    </row>
    <row r="200" ht="23.85" customHeight="1" s="14">
      <c r="A200" s="20" t="inlineStr">
        <is>
          <t>s:CAP-06</t>
        </is>
      </c>
      <c r="B200" s="20" t="inlineStr">
        <is>
          <t>Capital planning &amp; stress testing</t>
        </is>
      </c>
      <c r="C200" s="20" t="inlineStr">
        <is>
          <t>Board should incorporate uncertainties in projections and limitations in the capital-planning process into its decisions</t>
        </is>
      </c>
      <c r="D200" s="20" t="inlineStr">
        <is>
          <t>Attachment, secs. III.A.1 and III.A.2, p. 4</t>
        </is>
      </c>
      <c r="E200" s="20" t="inlineStr">
        <is>
          <t>guidance</t>
        </is>
      </c>
      <c r="F200" s="20" t="inlineStr">
        <is>
          <t>BHC</t>
        </is>
      </c>
      <c r="G200" s="20" t="inlineStr">
        <is>
          <t>Full board</t>
        </is>
      </c>
      <c r="H200" s="20" t="inlineStr">
        <is>
          <t>supervisory</t>
        </is>
      </c>
      <c r="I200" s="20" t="inlineStr">
        <is>
          <t>verified</t>
        </is>
      </c>
      <c r="J200" s="21" t="inlineStr">
        <is>
          <t>Consolidated</t>
        </is>
      </c>
      <c r="K200" s="20" t="inlineStr">
        <is>
          <t>per-cluster package</t>
        </is>
      </c>
      <c r="L200" s="20" t="inlineStr">
        <is>
          <t>T8</t>
        </is>
      </c>
      <c r="M200" s="20" t="inlineStr">
        <is>
          <t>Capital plan, policy &amp; actions approval; methodology as reporting</t>
        </is>
      </c>
    </row>
    <row r="201" ht="23.85" customHeight="1" s="14">
      <c r="A201" s="20" t="inlineStr">
        <is>
          <t>s:CAP-07</t>
        </is>
      </c>
      <c r="B201" s="20" t="inlineStr">
        <is>
          <t>Capital planning &amp; stress testing</t>
        </is>
      </c>
      <c r="C201" s="20" t="inlineStr">
        <is>
          <t>Board should maintain an accurate record of its meetings pertaining to the firm's capital-planning process.</t>
        </is>
      </c>
      <c r="D201" s="20" t="inlineStr">
        <is>
          <t>Attachment, sec. III.A.1, p. 4</t>
        </is>
      </c>
      <c r="E201" s="20" t="inlineStr">
        <is>
          <t>guidance</t>
        </is>
      </c>
      <c r="F201" s="20" t="inlineStr">
        <is>
          <t>BHC</t>
        </is>
      </c>
      <c r="G201" s="20" t="inlineStr">
        <is>
          <t>Full board</t>
        </is>
      </c>
      <c r="H201" s="20" t="inlineStr">
        <is>
          <t>supervisory</t>
        </is>
      </c>
      <c r="I201" s="20" t="inlineStr">
        <is>
          <t>verified</t>
        </is>
      </c>
      <c r="J201" s="21" t="inlineStr">
        <is>
          <t>Consolidated</t>
        </is>
      </c>
      <c r="K201" s="20" t="inlineStr">
        <is>
          <t>per-cluster package</t>
        </is>
      </c>
      <c r="L201" s="20" t="inlineStr">
        <is>
          <t>T8</t>
        </is>
      </c>
      <c r="M201" s="20" t="inlineStr">
        <is>
          <t>Capital plan, policy &amp; actions approval; methodology as reporting</t>
        </is>
      </c>
    </row>
    <row r="202" ht="35.05" customHeight="1" s="14">
      <c r="A202" s="20" t="inlineStr">
        <is>
          <t>s:CAP-08</t>
        </is>
      </c>
      <c r="B202" s="20" t="inlineStr">
        <is>
          <t>Capital planning &amp; stress testing</t>
        </is>
      </c>
      <c r="C202" s="20" t="inlineStr">
        <is>
          <t>The board-owned capital policy should incorporate actionable protocols (governance and escalation) in the event a post-s</t>
        </is>
      </c>
      <c r="D202" s="20" t="inlineStr">
        <is>
          <t>Attachment, sec. III.D, p. 12</t>
        </is>
      </c>
      <c r="E202" s="20" t="inlineStr">
        <is>
          <t>guidance</t>
        </is>
      </c>
      <c r="F202" s="20" t="inlineStr">
        <is>
          <t>BHC</t>
        </is>
      </c>
      <c r="G202" s="20" t="inlineStr">
        <is>
          <t>Full board / designated committee</t>
        </is>
      </c>
      <c r="H202" s="20" t="inlineStr">
        <is>
          <t>supervisory</t>
        </is>
      </c>
      <c r="I202" s="20" t="inlineStr">
        <is>
          <t>verified</t>
        </is>
      </c>
      <c r="J202" s="21" t="inlineStr">
        <is>
          <t>Consolidated</t>
        </is>
      </c>
      <c r="K202" s="20" t="inlineStr">
        <is>
          <t>per-cluster package</t>
        </is>
      </c>
      <c r="L202" s="20" t="inlineStr">
        <is>
          <t>T8</t>
        </is>
      </c>
      <c r="M202" s="20" t="inlineStr">
        <is>
          <t>Capital plan, policy &amp; actions approval; methodology as reporting</t>
        </is>
      </c>
    </row>
    <row r="203" ht="35.05" customHeight="1" s="14">
      <c r="A203" s="20" t="inlineStr">
        <is>
          <t>s:CAP-09</t>
        </is>
      </c>
      <c r="B203" s="20" t="inlineStr">
        <is>
          <t>Capital planning &amp; stress testing</t>
        </is>
      </c>
      <c r="C203" s="20" t="inlineStr">
        <is>
          <t>Board or a designated committee must, at least annually and before submission, review the robustness of the capital-adeq</t>
        </is>
      </c>
      <c r="D203" s="20" t="inlineStr">
        <is>
          <t>12 CFR 225.8(e)(1)(iii); 225.8(d)</t>
        </is>
      </c>
      <c r="E203" s="20" t="inlineStr">
        <is>
          <t>regulation</t>
        </is>
      </c>
      <c r="F203" s="20" t="inlineStr">
        <is>
          <t>BHC</t>
        </is>
      </c>
      <c r="G203" s="20" t="inlineStr">
        <is>
          <t>Full board or designated committee</t>
        </is>
      </c>
      <c r="H203" s="20" t="inlineStr">
        <is>
          <t>supervisory</t>
        </is>
      </c>
      <c r="I203" s="20" t="inlineStr">
        <is>
          <t>verified</t>
        </is>
      </c>
      <c r="J203" s="21" t="inlineStr">
        <is>
          <t>Consolidated</t>
        </is>
      </c>
      <c r="K203" s="20" t="inlineStr">
        <is>
          <t>per-cluster package</t>
        </is>
      </c>
      <c r="L203" s="20" t="inlineStr">
        <is>
          <t>T8</t>
        </is>
      </c>
      <c r="M203" s="20" t="inlineStr">
        <is>
          <t>Capital plan, policy &amp; actions approval; methodology as reporting</t>
        </is>
      </c>
    </row>
    <row r="204" ht="35.05" customHeight="1" s="14">
      <c r="A204" s="20" t="inlineStr">
        <is>
          <t>s:CAP-10</t>
        </is>
      </c>
      <c r="B204" s="20" t="inlineStr">
        <is>
          <t>Capital planning &amp; stress testing</t>
        </is>
      </c>
      <c r="C204" s="20" t="inlineStr">
        <is>
          <t>No board-of-directors attestation is required on the FR Y-14A; the FR Y-14A attestation is signed by the CFO (or equival</t>
        </is>
      </c>
      <c r="D204" s="20" t="inlineStr">
        <is>
          <t>FR Y-14A attestation requirement</t>
        </is>
      </c>
      <c r="E204" s="20" t="inlineStr">
        <is>
          <t>regulation</t>
        </is>
      </c>
      <c r="F204" s="20" t="inlineStr">
        <is>
          <t>BHC</t>
        </is>
      </c>
      <c r="G204" s="20" t="inlineStr">
        <is>
          <t>Senior management (CFO) — reported to board</t>
        </is>
      </c>
      <c r="H204" s="20" t="inlineStr">
        <is>
          <t>supervisory</t>
        </is>
      </c>
      <c r="I204" s="22" t="inlineStr">
        <is>
          <t>unverified</t>
        </is>
      </c>
      <c r="J204" s="21" t="inlineStr">
        <is>
          <t>Consolidated</t>
        </is>
      </c>
      <c r="K204" s="20" t="inlineStr">
        <is>
          <t>per-cluster package</t>
        </is>
      </c>
      <c r="L204" s="20" t="inlineStr">
        <is>
          <t>T8</t>
        </is>
      </c>
      <c r="M204" s="20" t="inlineStr">
        <is>
          <t>Capital plan, policy &amp; actions approval; methodology as reporting</t>
        </is>
      </c>
    </row>
    <row r="205" ht="23.85" customHeight="1" s="14">
      <c r="A205" s="20" t="inlineStr">
        <is>
          <t>s:CAP-11</t>
        </is>
      </c>
      <c r="B205" s="20" t="inlineStr">
        <is>
          <t>Capital planning &amp; stress testing</t>
        </is>
      </c>
      <c r="C205" s="20" t="inlineStr">
        <is>
          <t>SUPERSEDED for the GSIBs: SR 09-4's board duties (comprehensive dividend policy; board consideration of capital adequacy</t>
        </is>
      </c>
      <c r="D205" s="20" t="inlineStr">
        <is>
          <t>SR 15-18 fn. 5 (supersession)</t>
        </is>
      </c>
      <c r="E205" s="20" t="inlineStr">
        <is>
          <t>guidance</t>
        </is>
      </c>
      <c r="F205" s="20" t="inlineStr">
        <is>
          <t>BHC</t>
        </is>
      </c>
      <c r="G205" s="20" t="inlineStr">
        <is>
          <t>n/a (superseded for target firms)</t>
        </is>
      </c>
      <c r="H205" s="20" t="inlineStr">
        <is>
          <t>supervisory</t>
        </is>
      </c>
      <c r="I205" s="20" t="inlineStr">
        <is>
          <t>verified</t>
        </is>
      </c>
      <c r="J205" s="21" t="inlineStr">
        <is>
          <t>Consolidated</t>
        </is>
      </c>
      <c r="K205" s="20" t="inlineStr">
        <is>
          <t>per-cluster package</t>
        </is>
      </c>
      <c r="L205" s="20" t="inlineStr">
        <is>
          <t>T8</t>
        </is>
      </c>
      <c r="M205" s="20" t="inlineStr">
        <is>
          <t>Capital plan, policy &amp; actions approval; methodology as reporting</t>
        </is>
      </c>
    </row>
    <row r="206" ht="23.85" customHeight="1" s="14">
      <c r="A206" s="20" t="inlineStr">
        <is>
          <t>s:STR-01</t>
        </is>
      </c>
      <c r="B206" s="20" t="inlineStr">
        <is>
          <t>Capital planning &amp; stress testing</t>
        </is>
      </c>
      <c r="C206" s="20" t="inlineStr">
        <is>
          <t>Board and senior management establish a comprehensive, integrated, and effective stress-testing framework that fits into</t>
        </is>
      </c>
      <c r="D206" s="20" t="inlineStr">
        <is>
          <t>Attachment, Principle/Governance, p. (local ll. 800-806)</t>
        </is>
      </c>
      <c r="E206" s="20" t="inlineStr">
        <is>
          <t>guidance</t>
        </is>
      </c>
      <c r="F206" s="20" t="inlineStr">
        <is>
          <t>BHC</t>
        </is>
      </c>
      <c r="G206" s="20" t="inlineStr">
        <is>
          <t>Full board</t>
        </is>
      </c>
      <c r="H206" s="20" t="inlineStr">
        <is>
          <t>supervisory</t>
        </is>
      </c>
      <c r="I206" s="20" t="inlineStr">
        <is>
          <t>verified</t>
        </is>
      </c>
      <c r="J206" s="21" t="inlineStr">
        <is>
          <t>Consolidated</t>
        </is>
      </c>
      <c r="K206" s="20" t="inlineStr">
        <is>
          <t>per-cluster package</t>
        </is>
      </c>
      <c r="L206" s="20" t="inlineStr">
        <is>
          <t>T8</t>
        </is>
      </c>
      <c r="M206" s="20" t="inlineStr">
        <is>
          <t>Capital plan, policy &amp; actions approval; methodology as reporting</t>
        </is>
      </c>
    </row>
    <row r="207" ht="23.85" customHeight="1" s="14">
      <c r="A207" s="20" t="inlineStr">
        <is>
          <t>s:STR-02</t>
        </is>
      </c>
      <c r="B207" s="20" t="inlineStr">
        <is>
          <t>Capital planning &amp; stress testing</t>
        </is>
      </c>
      <c r="C207" s="20" t="inlineStr">
        <is>
          <t>Board approves, and annually reviews, written stress-testing policies governing purpose, rigor, roles, controls over ext</t>
        </is>
      </c>
      <c r="D207" s="20" t="inlineStr">
        <is>
          <t>Attachment, p. (local ll. 822-838)</t>
        </is>
      </c>
      <c r="E207" s="20" t="inlineStr">
        <is>
          <t>guidance</t>
        </is>
      </c>
      <c r="F207" s="20" t="inlineStr">
        <is>
          <t>BHC</t>
        </is>
      </c>
      <c r="G207" s="20" t="inlineStr">
        <is>
          <t>Full board</t>
        </is>
      </c>
      <c r="H207" s="20" t="inlineStr">
        <is>
          <t>supervisory</t>
        </is>
      </c>
      <c r="I207" s="22" t="inlineStr">
        <is>
          <t>unverified</t>
        </is>
      </c>
      <c r="J207" s="21" t="inlineStr">
        <is>
          <t>Consolidated</t>
        </is>
      </c>
      <c r="K207" s="20" t="inlineStr">
        <is>
          <t>per-cluster package</t>
        </is>
      </c>
      <c r="L207" s="20" t="inlineStr">
        <is>
          <t>T8</t>
        </is>
      </c>
      <c r="M207" s="20" t="inlineStr">
        <is>
          <t>Capital plan, policy &amp; actions approval; methodology as reporting</t>
        </is>
      </c>
    </row>
    <row r="208" ht="23.85" customHeight="1" s="14">
      <c r="A208" s="20" t="inlineStr">
        <is>
          <t>s:STR-03</t>
        </is>
      </c>
      <c r="B208" s="20" t="inlineStr">
        <is>
          <t>Capital planning &amp; stress testing</t>
        </is>
      </c>
      <c r="C208" s="20" t="inlineStr">
        <is>
          <t>Senior management, directly and through relevant committees, regularly reports stress-testing developments, scenarios, r</t>
        </is>
      </c>
      <c r="D208" s="20" t="inlineStr">
        <is>
          <t>Attachment, p. (local ll. 813-822)</t>
        </is>
      </c>
      <c r="E208" s="20" t="inlineStr">
        <is>
          <t>guidance</t>
        </is>
      </c>
      <c r="F208" s="20" t="inlineStr">
        <is>
          <t>BHC</t>
        </is>
      </c>
      <c r="G208" s="20" t="inlineStr">
        <is>
          <t>Full board; relevant committees</t>
        </is>
      </c>
      <c r="H208" s="20" t="inlineStr">
        <is>
          <t>supervisory</t>
        </is>
      </c>
      <c r="I208" s="20" t="inlineStr">
        <is>
          <t>verified</t>
        </is>
      </c>
      <c r="J208" s="21" t="inlineStr">
        <is>
          <t>Consolidated</t>
        </is>
      </c>
      <c r="K208" s="20" t="inlineStr">
        <is>
          <t>per-cluster package</t>
        </is>
      </c>
      <c r="L208" s="20" t="inlineStr">
        <is>
          <t>T8</t>
        </is>
      </c>
      <c r="M208" s="20" t="inlineStr">
        <is>
          <t>Capital plan, policy &amp; actions approval; methodology as reporting</t>
        </is>
      </c>
    </row>
    <row r="209" ht="23.85" customHeight="1" s="14">
      <c r="A209" s="20" t="inlineStr">
        <is>
          <t>s:STR-04</t>
        </is>
      </c>
      <c r="B209" s="20" t="inlineStr">
        <is>
          <t>Capital planning &amp; stress testing</t>
        </is>
      </c>
      <c r="C209" s="20" t="inlineStr">
        <is>
          <t>Stress-test results should facilitate board decision-making and inform alignment of the risk profile with risk appetite,</t>
        </is>
      </c>
      <c r="D209" s="20" t="inlineStr">
        <is>
          <t>Attachment, p. (local ll. 860-872)</t>
        </is>
      </c>
      <c r="E209" s="20" t="inlineStr">
        <is>
          <t>guidance</t>
        </is>
      </c>
      <c r="F209" s="20" t="inlineStr">
        <is>
          <t>BHC</t>
        </is>
      </c>
      <c r="G209" s="20" t="inlineStr">
        <is>
          <t>Full board</t>
        </is>
      </c>
      <c r="H209" s="20" t="inlineStr">
        <is>
          <t>supervisory</t>
        </is>
      </c>
      <c r="I209" s="20" t="inlineStr">
        <is>
          <t>verified</t>
        </is>
      </c>
      <c r="J209" s="21" t="inlineStr">
        <is>
          <t>Consolidated</t>
        </is>
      </c>
      <c r="K209" s="20" t="inlineStr">
        <is>
          <t>per-cluster package</t>
        </is>
      </c>
      <c r="L209" s="20" t="inlineStr">
        <is>
          <t>T8</t>
        </is>
      </c>
      <c r="M209" s="20" t="inlineStr">
        <is>
          <t>Capital plan, policy &amp; actions approval; methodology as reporting</t>
        </is>
      </c>
    </row>
    <row r="210" ht="23.85" customHeight="1" s="14">
      <c r="A210" s="20" t="inlineStr">
        <is>
          <t>b:LIQ-01</t>
        </is>
      </c>
      <c r="B210" s="20" t="inlineStr">
        <is>
          <t>Liquidity risk management</t>
        </is>
      </c>
      <c r="C210" s="20" t="inlineStr">
        <is>
          <t>Board must approve the firm's liquidity risk tolerance at least annually.</t>
        </is>
      </c>
      <c r="D210" s="20" t="inlineStr">
        <is>
          <t>12 CFR 252.34(a)(1)</t>
        </is>
      </c>
      <c r="E210" s="20" t="inlineStr">
        <is>
          <t>regulation</t>
        </is>
      </c>
      <c r="F210" s="20" t="inlineStr">
        <is>
          <t>BHC</t>
        </is>
      </c>
      <c r="G210" s="20" t="inlineStr">
        <is>
          <t>Full board</t>
        </is>
      </c>
      <c r="H210" s="20" t="inlineStr">
        <is>
          <t>binding</t>
        </is>
      </c>
      <c r="I210" s="20" t="inlineStr">
        <is>
          <t>verified</t>
        </is>
      </c>
      <c r="J210" s="21" t="inlineStr">
        <is>
          <t>Consolidated</t>
        </is>
      </c>
      <c r="K210" s="20" t="inlineStr">
        <is>
          <t>DEEM_SATISFIED</t>
        </is>
      </c>
      <c r="L210" s="20" t="inlineStr">
        <is>
          <t>T9</t>
        </is>
      </c>
      <c r="M210" s="20" t="inlineStr">
        <is>
          <t>Liquidity risk-tolerance approval — one approval satisfies rule and guidance</t>
        </is>
      </c>
    </row>
    <row r="211" ht="23.85" customHeight="1" s="14">
      <c r="A211" s="20" t="inlineStr">
        <is>
          <t>b:LIQ-02</t>
        </is>
      </c>
      <c r="B211" s="20" t="inlineStr">
        <is>
          <t>Liquidity risk management</t>
        </is>
      </c>
      <c r="C211" s="20" t="inlineStr">
        <is>
          <t>Board must review, at least semi-annually, whether the firm is operating within its established liquidity risk tolerance</t>
        </is>
      </c>
      <c r="D211" s="20" t="inlineStr">
        <is>
          <t>12 CFR 252.34(a)(1)(ii)</t>
        </is>
      </c>
      <c r="E211" s="20" t="inlineStr">
        <is>
          <t>regulation</t>
        </is>
      </c>
      <c r="F211" s="20" t="inlineStr">
        <is>
          <t>BHC</t>
        </is>
      </c>
      <c r="G211" s="20" t="inlineStr">
        <is>
          <t>Full board</t>
        </is>
      </c>
      <c r="H211" s="20" t="inlineStr">
        <is>
          <t>binding</t>
        </is>
      </c>
      <c r="I211" s="20" t="inlineStr">
        <is>
          <t>verified</t>
        </is>
      </c>
      <c r="J211" s="21" t="inlineStr">
        <is>
          <t>Consolidated</t>
        </is>
      </c>
      <c r="K211" s="20" t="inlineStr">
        <is>
          <t>DEEM_SATISFIED</t>
        </is>
      </c>
      <c r="L211" s="20" t="inlineStr">
        <is>
          <t>T9</t>
        </is>
      </c>
      <c r="M211" s="20" t="inlineStr">
        <is>
          <t>Liquidity risk-tolerance approval — one approval satisfies rule and guidance</t>
        </is>
      </c>
    </row>
    <row r="212" ht="23.85" customHeight="1" s="14">
      <c r="A212" s="20" t="inlineStr">
        <is>
          <t>b:LIQ-03</t>
        </is>
      </c>
      <c r="B212" s="20" t="inlineStr">
        <is>
          <t>Liquidity risk management</t>
        </is>
      </c>
      <c r="C212" s="20" t="inlineStr">
        <is>
          <t>Board must approve and periodically review the liquidity risk-management strategies, policies, and procedures.</t>
        </is>
      </c>
      <c r="D212" s="20" t="inlineStr">
        <is>
          <t>12 CFR 252.34(a)(2)</t>
        </is>
      </c>
      <c r="E212" s="20" t="inlineStr">
        <is>
          <t>regulation</t>
        </is>
      </c>
      <c r="F212" s="20" t="inlineStr">
        <is>
          <t>BHC</t>
        </is>
      </c>
      <c r="G212" s="20" t="inlineStr">
        <is>
          <t>Full board</t>
        </is>
      </c>
      <c r="H212" s="20" t="inlineStr">
        <is>
          <t>binding</t>
        </is>
      </c>
      <c r="I212" s="20" t="inlineStr">
        <is>
          <t>verified</t>
        </is>
      </c>
      <c r="J212" s="21" t="inlineStr">
        <is>
          <t>Consolidated</t>
        </is>
      </c>
      <c r="K212" s="20" t="inlineStr">
        <is>
          <t>DEEM_SATISFIED</t>
        </is>
      </c>
      <c r="L212" s="20" t="inlineStr">
        <is>
          <t>T9</t>
        </is>
      </c>
      <c r="M212" s="20" t="inlineStr">
        <is>
          <t>Liquidity risk-tolerance approval — one approval satisfies rule and guidance</t>
        </is>
      </c>
    </row>
    <row r="213" ht="23.85" customHeight="1" s="14">
      <c r="A213" s="20" t="inlineStr">
        <is>
          <t>s:LIQ-01</t>
        </is>
      </c>
      <c r="B213" s="20" t="inlineStr">
        <is>
          <t>Liquidity risk management</t>
        </is>
      </c>
      <c r="C213" s="20" t="inlineStr">
        <is>
          <t>Board must approve the acceptable level of liquidity risk the firm may assume (liquidity risk tolerance) at least annual</t>
        </is>
      </c>
      <c r="D213" s="20" t="inlineStr">
        <is>
          <t>12 CFR 252.34(a)(1)(i)</t>
        </is>
      </c>
      <c r="E213" s="20" t="inlineStr">
        <is>
          <t>regulation</t>
        </is>
      </c>
      <c r="F213" s="20" t="inlineStr">
        <is>
          <t>BHC</t>
        </is>
      </c>
      <c r="G213" s="20" t="inlineStr">
        <is>
          <t>Full board</t>
        </is>
      </c>
      <c r="H213" s="20" t="inlineStr">
        <is>
          <t>supervisory</t>
        </is>
      </c>
      <c r="I213" s="20" t="inlineStr">
        <is>
          <t>verified</t>
        </is>
      </c>
      <c r="J213" s="21" t="inlineStr">
        <is>
          <t>Consolidated</t>
        </is>
      </c>
      <c r="K213" s="20" t="inlineStr">
        <is>
          <t>DEEM_SATISFIED</t>
        </is>
      </c>
      <c r="L213" s="20" t="inlineStr">
        <is>
          <t>T9</t>
        </is>
      </c>
      <c r="M213" s="20" t="inlineStr">
        <is>
          <t>Liquidity risk-tolerance approval — one approval satisfies rule and guidance</t>
        </is>
      </c>
    </row>
    <row r="214" ht="23.85" customHeight="1" s="14">
      <c r="A214" s="20" t="inlineStr">
        <is>
          <t>s:LIQ-02</t>
        </is>
      </c>
      <c r="B214" s="20" t="inlineStr">
        <is>
          <t>Liquidity risk management</t>
        </is>
      </c>
      <c r="C214" s="20" t="inlineStr">
        <is>
          <t>Board must receive and review at least semi-annually information from senior management to determine whether the firm is</t>
        </is>
      </c>
      <c r="D214" s="20" t="inlineStr">
        <is>
          <t>12 CFR 252.34(a)(1)(ii)</t>
        </is>
      </c>
      <c r="E214" s="20" t="inlineStr">
        <is>
          <t>regulation</t>
        </is>
      </c>
      <c r="F214" s="20" t="inlineStr">
        <is>
          <t>BHC</t>
        </is>
      </c>
      <c r="G214" s="20" t="inlineStr">
        <is>
          <t>Full board</t>
        </is>
      </c>
      <c r="H214" s="20" t="inlineStr">
        <is>
          <t>supervisory</t>
        </is>
      </c>
      <c r="I214" s="20" t="inlineStr">
        <is>
          <t>verified</t>
        </is>
      </c>
      <c r="J214" s="21" t="inlineStr">
        <is>
          <t>Consolidated</t>
        </is>
      </c>
      <c r="K214" s="20" t="inlineStr">
        <is>
          <t>DEEM_SATISFIED</t>
        </is>
      </c>
      <c r="L214" s="20" t="inlineStr">
        <is>
          <t>T9</t>
        </is>
      </c>
      <c r="M214" s="20" t="inlineStr">
        <is>
          <t>Liquidity risk-tolerance approval — one approval satisfies rule and guidance</t>
        </is>
      </c>
    </row>
    <row r="215" ht="23.85" customHeight="1" s="14">
      <c r="A215" s="20" t="inlineStr">
        <is>
          <t>s:LIQ-03</t>
        </is>
      </c>
      <c r="B215" s="20" t="inlineStr">
        <is>
          <t>Liquidity risk management</t>
        </is>
      </c>
      <c r="C215" s="20" t="inlineStr">
        <is>
          <t>Board must approve and periodically review the liquidity risk-management strategies, policies, and procedures establishe</t>
        </is>
      </c>
      <c r="D215" s="20" t="inlineStr">
        <is>
          <t>12 CFR 252.34(a)(2), (c)(1)(i)</t>
        </is>
      </c>
      <c r="E215" s="20" t="inlineStr">
        <is>
          <t>regulation</t>
        </is>
      </c>
      <c r="F215" s="20" t="inlineStr">
        <is>
          <t>BHC</t>
        </is>
      </c>
      <c r="G215" s="20" t="inlineStr">
        <is>
          <t>Full board</t>
        </is>
      </c>
      <c r="H215" s="20" t="inlineStr">
        <is>
          <t>supervisory</t>
        </is>
      </c>
      <c r="I215" s="20" t="inlineStr">
        <is>
          <t>verified</t>
        </is>
      </c>
      <c r="J215" s="21" t="inlineStr">
        <is>
          <t>Consolidated</t>
        </is>
      </c>
      <c r="K215" s="20" t="inlineStr">
        <is>
          <t>DEEM_SATISFIED</t>
        </is>
      </c>
      <c r="L215" s="20" t="inlineStr">
        <is>
          <t>T9</t>
        </is>
      </c>
      <c r="M215" s="20" t="inlineStr">
        <is>
          <t>Liquidity risk-tolerance approval — one approval satisfies rule and guidance</t>
        </is>
      </c>
    </row>
    <row r="216" ht="23.85" customHeight="1" s="14">
      <c r="A216" s="20" t="inlineStr">
        <is>
          <t>s:LIQ-04</t>
        </is>
      </c>
      <c r="B216" s="20" t="inlineStr">
        <is>
          <t>Liquidity risk management</t>
        </is>
      </c>
      <c r="C216" s="20" t="inlineStr">
        <is>
          <t>The risk committee (or a designated subcommittee composed of board members) must approve the contingency funding plan at</t>
        </is>
      </c>
      <c r="D216" s="20" t="inlineStr">
        <is>
          <t>12 CFR 252.34(b)</t>
        </is>
      </c>
      <c r="E216" s="20" t="inlineStr">
        <is>
          <t>regulation</t>
        </is>
      </c>
      <c r="F216" s="20" t="inlineStr">
        <is>
          <t>BHC</t>
        </is>
      </c>
      <c r="G216" s="20" t="inlineStr">
        <is>
          <t>Risk committee (or board subcommittee)</t>
        </is>
      </c>
      <c r="H216" s="20" t="inlineStr">
        <is>
          <t>supervisory</t>
        </is>
      </c>
      <c r="I216" s="20" t="inlineStr">
        <is>
          <t>verified</t>
        </is>
      </c>
      <c r="J216" s="21" t="inlineStr">
        <is>
          <t>Consolidated</t>
        </is>
      </c>
      <c r="K216" s="20" t="inlineStr">
        <is>
          <t>DEEM_SATISFIED</t>
        </is>
      </c>
      <c r="L216" s="20" t="inlineStr">
        <is>
          <t>T9</t>
        </is>
      </c>
      <c r="M216" s="20" t="inlineStr">
        <is>
          <t>Liquidity risk-tolerance approval — one approval satisfies rule and guidance</t>
        </is>
      </c>
    </row>
    <row r="217" ht="23.85" customHeight="1" s="14">
      <c r="A217" s="20" t="inlineStr">
        <is>
          <t>s:LIQ-05</t>
        </is>
      </c>
      <c r="B217" s="20" t="inlineStr">
        <is>
          <t>Liquidity risk management</t>
        </is>
      </c>
      <c r="C217" s="20" t="inlineStr">
        <is>
          <t>Senior management must report to the board or the risk committee regarding the firm's liquidity risk profile and liquidi</t>
        </is>
      </c>
      <c r="D217" s="20" t="inlineStr">
        <is>
          <t>12 CFR 252.34(c)(2)</t>
        </is>
      </c>
      <c r="E217" s="20" t="inlineStr">
        <is>
          <t>regulation</t>
        </is>
      </c>
      <c r="F217" s="20" t="inlineStr">
        <is>
          <t>BHC</t>
        </is>
      </c>
      <c r="G217" s="20" t="inlineStr">
        <is>
          <t>Full board or Risk committee</t>
        </is>
      </c>
      <c r="H217" s="20" t="inlineStr">
        <is>
          <t>supervisory</t>
        </is>
      </c>
      <c r="I217" s="20" t="inlineStr">
        <is>
          <t>verified</t>
        </is>
      </c>
      <c r="J217" s="21" t="inlineStr">
        <is>
          <t>Consolidated</t>
        </is>
      </c>
      <c r="K217" s="20" t="inlineStr">
        <is>
          <t>DEEM_SATISFIED</t>
        </is>
      </c>
      <c r="L217" s="20" t="inlineStr">
        <is>
          <t>T9</t>
        </is>
      </c>
      <c r="M217" s="20" t="inlineStr">
        <is>
          <t>Liquidity risk-tolerance approval — one approval satisfies rule and guidance</t>
        </is>
      </c>
    </row>
    <row r="218" ht="23.85" customHeight="1" s="14">
      <c r="A218" s="20" t="inlineStr">
        <is>
          <t>s:LIQ-06</t>
        </is>
      </c>
      <c r="B218" s="20" t="inlineStr">
        <is>
          <t>Liquidity risk management</t>
        </is>
      </c>
      <c r="C218" s="20" t="inlineStr">
        <is>
          <t>The independent review function (independent of funding management) must report material liquidity risk-management issue</t>
        </is>
      </c>
      <c r="D218" s="20" t="inlineStr">
        <is>
          <t>12 CFR 252.34(d)(2)(iii)</t>
        </is>
      </c>
      <c r="E218" s="20" t="inlineStr">
        <is>
          <t>regulation</t>
        </is>
      </c>
      <c r="F218" s="20" t="inlineStr">
        <is>
          <t>BHC</t>
        </is>
      </c>
      <c r="G218" s="20" t="inlineStr">
        <is>
          <t>Full board or Risk committee</t>
        </is>
      </c>
      <c r="H218" s="20" t="inlineStr">
        <is>
          <t>supervisory</t>
        </is>
      </c>
      <c r="I218" s="20" t="inlineStr">
        <is>
          <t>verified</t>
        </is>
      </c>
      <c r="J218" s="21" t="inlineStr">
        <is>
          <t>Consolidated</t>
        </is>
      </c>
      <c r="K218" s="20" t="inlineStr">
        <is>
          <t>DEEM_SATISFIED</t>
        </is>
      </c>
      <c r="L218" s="20" t="inlineStr">
        <is>
          <t>T9</t>
        </is>
      </c>
      <c r="M218" s="20" t="inlineStr">
        <is>
          <t>Liquidity risk-tolerance approval — one approval satisfies rule and guidance</t>
        </is>
      </c>
    </row>
    <row r="219" ht="23.85" customHeight="1" s="14">
      <c r="A219" s="20" t="inlineStr">
        <is>
          <t>s:LIQ-07</t>
        </is>
      </c>
      <c r="B219" s="20" t="inlineStr">
        <is>
          <t>Liquidity risk management</t>
        </is>
      </c>
      <c r="C219" s="20" t="inlineStr">
        <is>
          <t xml:space="preserve">Firm must maintain a risk committee that approves and periodically reviews global risk-management policies and oversees </t>
        </is>
      </c>
      <c r="D219" s="20" t="inlineStr">
        <is>
          <t>12 CFR 252.33</t>
        </is>
      </c>
      <c r="E219" s="20" t="inlineStr">
        <is>
          <t>regulation</t>
        </is>
      </c>
      <c r="F219" s="20" t="inlineStr">
        <is>
          <t>BHC</t>
        </is>
      </c>
      <c r="G219" s="20" t="inlineStr">
        <is>
          <t>Risk committee (reports to full board)</t>
        </is>
      </c>
      <c r="H219" s="20" t="inlineStr">
        <is>
          <t>supervisory</t>
        </is>
      </c>
      <c r="I219" s="20" t="inlineStr">
        <is>
          <t>verified</t>
        </is>
      </c>
      <c r="J219" s="21" t="inlineStr">
        <is>
          <t>Consolidated</t>
        </is>
      </c>
      <c r="K219" s="20" t="inlineStr">
        <is>
          <t>DEEM_SATISFIED</t>
        </is>
      </c>
      <c r="L219" s="20" t="inlineStr">
        <is>
          <t>T9</t>
        </is>
      </c>
      <c r="M219" s="20" t="inlineStr">
        <is>
          <t>Liquidity risk-tolerance approval — one approval satisfies rule and guidance</t>
        </is>
      </c>
    </row>
    <row r="220" ht="23.85" customHeight="1" s="14">
      <c r="A220" s="20" t="inlineStr">
        <is>
          <t>s:LIQ-08</t>
        </is>
      </c>
      <c r="B220" s="20" t="inlineStr">
        <is>
          <t>Liquidity risk management</t>
        </is>
      </c>
      <c r="C220" s="20" t="inlineStr">
        <is>
          <t>Board is ultimately responsible for the liquidity risk assumed by the institution and should ensure the liquidity risk t</t>
        </is>
      </c>
      <c r="D220" s="20" t="inlineStr">
        <is>
          <t>Attachment, Corporate Governance, p. 3</t>
        </is>
      </c>
      <c r="E220" s="20" t="inlineStr">
        <is>
          <t>guidance</t>
        </is>
      </c>
      <c r="F220" s="20" t="inlineStr">
        <is>
          <t>both</t>
        </is>
      </c>
      <c r="G220" s="20" t="inlineStr">
        <is>
          <t>Full board</t>
        </is>
      </c>
      <c r="H220" s="20" t="inlineStr">
        <is>
          <t>supervisory</t>
        </is>
      </c>
      <c r="I220" s="20" t="inlineStr">
        <is>
          <t>verified</t>
        </is>
      </c>
      <c r="J220" s="21" t="inlineStr">
        <is>
          <t>Consolidated</t>
        </is>
      </c>
      <c r="K220" s="20" t="inlineStr">
        <is>
          <t>DEEM_SATISFIED</t>
        </is>
      </c>
      <c r="L220" s="20" t="inlineStr">
        <is>
          <t>T9</t>
        </is>
      </c>
      <c r="M220" s="20" t="inlineStr">
        <is>
          <t>Liquidity risk-tolerance approval — one approval satisfies rule and guidance</t>
        </is>
      </c>
    </row>
    <row r="221" ht="35.05" customHeight="1" s="14">
      <c r="A221" s="20" t="inlineStr">
        <is>
          <t>s:LIQ-09</t>
        </is>
      </c>
      <c r="B221" s="20" t="inlineStr">
        <is>
          <t>Liquidity risk management</t>
        </is>
      </c>
      <c r="C221" s="20" t="inlineStr">
        <is>
          <t xml:space="preserve">Board or its delegated committee of board members should oversee the establishment and approval of liquidity-management </t>
        </is>
      </c>
      <c r="D221" s="20" t="inlineStr">
        <is>
          <t>Attachment, p. 3</t>
        </is>
      </c>
      <c r="E221" s="20" t="inlineStr">
        <is>
          <t>guidance</t>
        </is>
      </c>
      <c r="F221" s="20" t="inlineStr">
        <is>
          <t>both</t>
        </is>
      </c>
      <c r="G221" s="20" t="inlineStr">
        <is>
          <t>Full board or delegated board committee</t>
        </is>
      </c>
      <c r="H221" s="20" t="inlineStr">
        <is>
          <t>supervisory</t>
        </is>
      </c>
      <c r="I221" s="20" t="inlineStr">
        <is>
          <t>verified</t>
        </is>
      </c>
      <c r="J221" s="21" t="inlineStr">
        <is>
          <t>Consolidated</t>
        </is>
      </c>
      <c r="K221" s="20" t="inlineStr">
        <is>
          <t>DEEM_SATISFIED</t>
        </is>
      </c>
      <c r="L221" s="20" t="inlineStr">
        <is>
          <t>T9</t>
        </is>
      </c>
      <c r="M221" s="20" t="inlineStr">
        <is>
          <t>Liquidity risk-tolerance approval — one approval satisfies rule and guidance</t>
        </is>
      </c>
    </row>
    <row r="222" ht="23.85" customHeight="1" s="14">
      <c r="A222" s="20" t="inlineStr">
        <is>
          <t>s:LIQ-10</t>
        </is>
      </c>
      <c r="B222" s="20" t="inlineStr">
        <is>
          <t>Liquidity risk management</t>
        </is>
      </c>
      <c r="C222" s="20" t="inlineStr">
        <is>
          <t>Board should ensure it: understands the nature of the firm's liquidity risks and periodically reviews information to mai</t>
        </is>
      </c>
      <c r="D222" s="20" t="inlineStr">
        <is>
          <t>Attachment, p. 3</t>
        </is>
      </c>
      <c r="E222" s="20" t="inlineStr">
        <is>
          <t>guidance</t>
        </is>
      </c>
      <c r="F222" s="20" t="inlineStr">
        <is>
          <t>both</t>
        </is>
      </c>
      <c r="G222" s="20" t="inlineStr">
        <is>
          <t>Full board</t>
        </is>
      </c>
      <c r="H222" s="20" t="inlineStr">
        <is>
          <t>supervisory</t>
        </is>
      </c>
      <c r="I222" s="20" t="inlineStr">
        <is>
          <t>verified</t>
        </is>
      </c>
      <c r="J222" s="21" t="inlineStr">
        <is>
          <t>Consolidated</t>
        </is>
      </c>
      <c r="K222" s="20" t="inlineStr">
        <is>
          <t>DEEM_SATISFIED</t>
        </is>
      </c>
      <c r="L222" s="20" t="inlineStr">
        <is>
          <t>T9</t>
        </is>
      </c>
      <c r="M222" s="20" t="inlineStr">
        <is>
          <t>Liquidity risk-tolerance approval — one approval satisfies rule and guidance</t>
        </is>
      </c>
    </row>
    <row r="223" ht="23.85" customHeight="1" s="14">
      <c r="A223" s="20" t="inlineStr">
        <is>
          <t>s:LIQ-11</t>
        </is>
      </c>
      <c r="B223" s="20" t="inlineStr">
        <is>
          <t>Liquidity risk management</t>
        </is>
      </c>
      <c r="C223" s="20" t="inlineStr">
        <is>
          <t xml:space="preserve">Board of directors should receive liquidity risk reports at least quarterly, conveying risk exposure, limit compliance, </t>
        </is>
      </c>
      <c r="D223" s="20" t="inlineStr">
        <is>
          <t>Attachment, p. 5</t>
        </is>
      </c>
      <c r="E223" s="20" t="inlineStr">
        <is>
          <t>guidance</t>
        </is>
      </c>
      <c r="F223" s="20" t="inlineStr">
        <is>
          <t>both</t>
        </is>
      </c>
      <c r="G223" s="20" t="inlineStr">
        <is>
          <t>Full board</t>
        </is>
      </c>
      <c r="H223" s="20" t="inlineStr">
        <is>
          <t>supervisory</t>
        </is>
      </c>
      <c r="I223" s="20" t="inlineStr">
        <is>
          <t>verified</t>
        </is>
      </c>
      <c r="J223" s="21" t="inlineStr">
        <is>
          <t>Consolidated</t>
        </is>
      </c>
      <c r="K223" s="20" t="inlineStr">
        <is>
          <t>DEEM_SATISFIED</t>
        </is>
      </c>
      <c r="L223" s="20" t="inlineStr">
        <is>
          <t>T9</t>
        </is>
      </c>
      <c r="M223" s="20" t="inlineStr">
        <is>
          <t>Liquidity risk-tolerance approval — one approval satisfies rule and guidance</t>
        </is>
      </c>
    </row>
    <row r="224" ht="23.85" customHeight="1" s="14">
      <c r="A224" s="20" t="inlineStr">
        <is>
          <t>s:LIQ-12</t>
        </is>
      </c>
      <c r="B224" s="20" t="inlineStr">
        <is>
          <t>Liquidity risk management</t>
        </is>
      </c>
      <c r="C224" s="20" t="inlineStr">
        <is>
          <t>Institutions should maintain, regularly test, and update actionable contingency funding plans across a range of stress s</t>
        </is>
      </c>
      <c r="D224" s="20" t="inlineStr">
        <is>
          <t>Addendum</t>
        </is>
      </c>
      <c r="E224" s="20" t="inlineStr">
        <is>
          <t>guidance</t>
        </is>
      </c>
      <c r="F224" s="20" t="inlineStr">
        <is>
          <t>both</t>
        </is>
      </c>
      <c r="G224" s="20" t="inlineStr">
        <is>
          <t>Full board; senior management</t>
        </is>
      </c>
      <c r="H224" s="20" t="inlineStr">
        <is>
          <t>supervisory</t>
        </is>
      </c>
      <c r="I224" s="22" t="inlineStr">
        <is>
          <t>unverified</t>
        </is>
      </c>
      <c r="J224" s="21" t="inlineStr">
        <is>
          <t>Consolidated</t>
        </is>
      </c>
      <c r="K224" s="20" t="inlineStr">
        <is>
          <t>DEEM_SATISFIED</t>
        </is>
      </c>
      <c r="L224" s="20" t="inlineStr">
        <is>
          <t>T9</t>
        </is>
      </c>
      <c r="M224" s="20" t="inlineStr">
        <is>
          <t>Liquidity risk-tolerance approval — one approval satisfies rule and guidance</t>
        </is>
      </c>
    </row>
    <row r="225" ht="57.45" customHeight="1" s="14">
      <c r="A225" s="20" t="inlineStr">
        <is>
          <t>s:LIQ-13</t>
        </is>
      </c>
      <c r="B225" s="20" t="inlineStr">
        <is>
          <t>Liquidity risk management</t>
        </is>
      </c>
      <c r="C225" s="20" t="inlineStr">
        <is>
          <t>No separate board-approval duty exists for the ILST methodology or for LCR/NSFR; senior management approves ILST practic</t>
        </is>
      </c>
      <c r="D225" s="20" t="inlineStr">
        <is>
          <t>12 CFR 252.35; 252.34(c)(6)</t>
        </is>
      </c>
      <c r="E225" s="20" t="inlineStr">
        <is>
          <t>regulation</t>
        </is>
      </c>
      <c r="F225" s="20" t="inlineStr">
        <is>
          <t>BHC</t>
        </is>
      </c>
      <c r="G225" s="20" t="inlineStr">
        <is>
          <t>Risk committee (CFP); Full board (tolerance); senior management (methodology/buffer)</t>
        </is>
      </c>
      <c r="H225" s="20" t="inlineStr">
        <is>
          <t>supervisory</t>
        </is>
      </c>
      <c r="I225" s="20" t="inlineStr">
        <is>
          <t>verified</t>
        </is>
      </c>
      <c r="J225" s="21" t="inlineStr">
        <is>
          <t>Consolidated</t>
        </is>
      </c>
      <c r="K225" s="20" t="inlineStr">
        <is>
          <t>DEEM_SATISFIED</t>
        </is>
      </c>
      <c r="L225" s="20" t="inlineStr">
        <is>
          <t>T9</t>
        </is>
      </c>
      <c r="M225" s="20" t="inlineStr">
        <is>
          <t>Liquidity risk-tolerance approval — one approval satisfies rule and guidance</t>
        </is>
      </c>
    </row>
    <row r="226" ht="23.85" customHeight="1" s="14">
      <c r="A226" s="20" t="inlineStr">
        <is>
          <t>s:OLQ-01</t>
        </is>
      </c>
      <c r="B226" s="20" t="inlineStr">
        <is>
          <t>Liquidity risk management</t>
        </is>
      </c>
      <c r="C226" s="20" t="inlineStr">
        <is>
          <t>Board and management implement an effective liquidity risk-management process supported by reliable, forward-looking MIS</t>
        </is>
      </c>
      <c r="D226" s="20" t="inlineStr">
        <is>
          <t>Board responsibilities (local ll. ~1260-1282)</t>
        </is>
      </c>
      <c r="E226" s="20" t="inlineStr">
        <is>
          <t>guidance</t>
        </is>
      </c>
      <c r="F226" s="20" t="inlineStr">
        <is>
          <t>IDI</t>
        </is>
      </c>
      <c r="G226" s="20" t="inlineStr">
        <is>
          <t>Full board</t>
        </is>
      </c>
      <c r="H226" s="20" t="inlineStr">
        <is>
          <t>supervisory</t>
        </is>
      </c>
      <c r="I226" s="22" t="inlineStr">
        <is>
          <t>unverified</t>
        </is>
      </c>
      <c r="J226" s="21" t="inlineStr">
        <is>
          <t>Consolidated</t>
        </is>
      </c>
      <c r="K226" s="20" t="inlineStr">
        <is>
          <t>DEEM_SATISFIED</t>
        </is>
      </c>
      <c r="L226" s="20" t="inlineStr">
        <is>
          <t>T9</t>
        </is>
      </c>
      <c r="M226" s="20" t="inlineStr">
        <is>
          <t>Liquidity risk-tolerance approval — one approval satisfies rule and guidance</t>
        </is>
      </c>
    </row>
    <row r="227" ht="23.85" customHeight="1" s="14">
      <c r="A227" s="20" t="inlineStr">
        <is>
          <t>s:OLQ-02</t>
        </is>
      </c>
      <c r="B227" s="20" t="inlineStr">
        <is>
          <t>Liquidity risk management</t>
        </is>
      </c>
      <c r="C227" s="20" t="inlineStr">
        <is>
          <t>Board should regularly receive reports detailing the bank's liquidity position, be immediately informed of material chan</t>
        </is>
      </c>
      <c r="D227" s="20" t="inlineStr">
        <is>
          <t>Board reporting (local ll. ~1273-1295)</t>
        </is>
      </c>
      <c r="E227" s="20" t="inlineStr">
        <is>
          <t>guidance</t>
        </is>
      </c>
      <c r="F227" s="20" t="inlineStr">
        <is>
          <t>IDI</t>
        </is>
      </c>
      <c r="G227" s="20" t="inlineStr">
        <is>
          <t>Full board</t>
        </is>
      </c>
      <c r="H227" s="20" t="inlineStr">
        <is>
          <t>supervisory</t>
        </is>
      </c>
      <c r="I227" s="22" t="inlineStr">
        <is>
          <t>unverified</t>
        </is>
      </c>
      <c r="J227" s="21" t="inlineStr">
        <is>
          <t>Consolidated</t>
        </is>
      </c>
      <c r="K227" s="20" t="inlineStr">
        <is>
          <t>DEEM_SATISFIED</t>
        </is>
      </c>
      <c r="L227" s="20" t="inlineStr">
        <is>
          <t>T9</t>
        </is>
      </c>
      <c r="M227" s="20" t="inlineStr">
        <is>
          <t>Liquidity risk-tolerance approval — one approval satisfies rule and guidance</t>
        </is>
      </c>
    </row>
    <row r="228" ht="23.85" customHeight="1" s="14">
      <c r="A228" s="20" t="inlineStr">
        <is>
          <t>s:OLQ-03</t>
        </is>
      </c>
      <c r="B228" s="20" t="inlineStr">
        <is>
          <t>Liquidity risk management</t>
        </is>
      </c>
      <c r="C228" s="20" t="inlineStr">
        <is>
          <t>Examiners assess whether reporting and escalation processes inform the board of liquidity risks and whether control/repo</t>
        </is>
      </c>
      <c r="D228" s="20" t="inlineStr">
        <is>
          <t>Examination procedures (local ll. ~3442-3455)</t>
        </is>
      </c>
      <c r="E228" s="20" t="inlineStr">
        <is>
          <t>guidance</t>
        </is>
      </c>
      <c r="F228" s="20" t="inlineStr">
        <is>
          <t>IDI</t>
        </is>
      </c>
      <c r="G228" s="20" t="inlineStr">
        <is>
          <t>Full board; audit committee</t>
        </is>
      </c>
      <c r="H228" s="20" t="inlineStr">
        <is>
          <t>supervisory</t>
        </is>
      </c>
      <c r="I228" s="22" t="inlineStr">
        <is>
          <t>unverified</t>
        </is>
      </c>
      <c r="J228" s="21" t="inlineStr">
        <is>
          <t>Consolidated</t>
        </is>
      </c>
      <c r="K228" s="20" t="inlineStr">
        <is>
          <t>DEEM_SATISFIED</t>
        </is>
      </c>
      <c r="L228" s="20" t="inlineStr">
        <is>
          <t>T9</t>
        </is>
      </c>
      <c r="M228" s="20" t="inlineStr">
        <is>
          <t>Liquidity risk-tolerance approval — one approval satisfies rule and guidance</t>
        </is>
      </c>
    </row>
  </sheetData>
  <autoFilter ref="A1:M22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9" customWidth="1" style="13" min="1" max="1"/>
    <col width="70" customWidth="1" style="13" min="2" max="2"/>
    <col width="18" customWidth="1" style="13" min="3" max="3"/>
    <col width="13" customWidth="1" style="13" min="4" max="4"/>
    <col width="11" customWidth="1" style="13" min="5" max="5"/>
    <col width="46" customWidth="1" style="13" min="6" max="6"/>
  </cols>
  <sheetData>
    <row r="1" ht="15" customHeight="1" s="14">
      <c r="A1" s="26" t="inlineStr">
        <is>
          <t>Target ID</t>
        </is>
      </c>
      <c r="B1" s="26" t="inlineStr">
        <is>
          <t>Consolidated duty (proposed)</t>
        </is>
      </c>
      <c r="C1" s="26" t="inlineStr">
        <is>
          <t>Disposition mix</t>
        </is>
      </c>
      <c r="D1" s="26" t="inlineStr">
        <is>
          <t># source rows</t>
        </is>
      </c>
      <c r="E1" s="26" t="inlineStr">
        <is>
          <t># verified</t>
        </is>
      </c>
      <c r="F1" s="26" t="inlineStr">
        <is>
          <t>Source clusters</t>
        </is>
      </c>
    </row>
    <row r="2" ht="23.85" customHeight="1" s="14">
      <c r="A2" s="20" t="inlineStr">
        <is>
          <t>T1</t>
        </is>
      </c>
      <c r="B2" s="20" t="inlineStr">
        <is>
          <t>Enterprise strategy, risk-governance framework &amp; risk-appetite approval</t>
        </is>
      </c>
      <c r="C2" s="20" t="inlineStr">
        <is>
          <t>Consolidated</t>
        </is>
      </c>
      <c r="D2" s="20" t="n">
        <v>26</v>
      </c>
      <c r="E2" s="20" t="n">
        <v>17</v>
      </c>
      <c r="F2" s="20" t="inlineStr">
        <is>
          <t>Risk appetite statement; Risk-governance framework / strategy</t>
        </is>
      </c>
    </row>
    <row r="3" ht="23.85" customHeight="1" s="14">
      <c r="A3" s="20" t="inlineStr">
        <is>
          <t>T1</t>
        </is>
      </c>
      <c r="B3" s="20" t="inlineStr">
        <is>
          <t>Enterprise strategy, risk-governance framework &amp; risk-appetite approval (resilience module)</t>
        </is>
      </c>
      <c r="C3" s="20" t="inlineStr">
        <is>
          <t>Folded</t>
        </is>
      </c>
      <c r="D3" s="20" t="n">
        <v>5</v>
      </c>
      <c r="E3" s="20" t="n">
        <v>3</v>
      </c>
      <c r="F3" s="20" t="inlineStr">
        <is>
          <t>Operational resilience / business continuity</t>
        </is>
      </c>
    </row>
    <row r="4" ht="15" customHeight="1" s="14">
      <c r="A4" s="20" t="inlineStr">
        <is>
          <t>T2</t>
        </is>
      </c>
      <c r="B4" s="20" t="inlineStr">
        <is>
          <t>Risk committee — one consolidated standard + IDI certification</t>
        </is>
      </c>
      <c r="C4" s="20" t="inlineStr">
        <is>
          <t>Consolidated</t>
        </is>
      </c>
      <c r="D4" s="20" t="n">
        <v>6</v>
      </c>
      <c r="E4" s="20" t="n">
        <v>5</v>
      </c>
      <c r="F4" s="20" t="inlineStr">
        <is>
          <t>Risk committee architecture</t>
        </is>
      </c>
    </row>
    <row r="5" ht="23.85" customHeight="1" s="14">
      <c r="A5" s="20" t="inlineStr">
        <is>
          <t>T3</t>
        </is>
      </c>
      <c r="B5" s="20" t="inlineStr">
        <is>
          <t>CRO appointment, removal &amp; compensation (one approval; CRE independence retained)</t>
        </is>
      </c>
      <c r="C5" s="20" t="inlineStr">
        <is>
          <t>Consolidated</t>
        </is>
      </c>
      <c r="D5" s="20" t="n">
        <v>2</v>
      </c>
      <c r="E5" s="20" t="n">
        <v>2</v>
      </c>
      <c r="F5" s="20" t="inlineStr">
        <is>
          <t>CRO / CRE appointment &amp; compensation</t>
        </is>
      </c>
    </row>
    <row r="6" ht="15" customHeight="1" s="14">
      <c r="A6" s="20" t="inlineStr">
        <is>
          <t>T4-5</t>
        </is>
      </c>
      <c r="B6" s="20" t="inlineStr">
        <is>
          <t>One audit committee (single independence test); internal &amp; external audit oversight</t>
        </is>
      </c>
      <c r="C6" s="20" t="inlineStr">
        <is>
          <t>Consolidated</t>
        </is>
      </c>
      <c r="D6" s="20" t="n">
        <v>21</v>
      </c>
      <c r="E6" s="20" t="n">
        <v>13</v>
      </c>
      <c r="F6" s="20" t="inlineStr">
        <is>
          <t>Audit committee &amp; independence</t>
        </is>
      </c>
    </row>
    <row r="7" ht="15" customHeight="1" s="14">
      <c r="A7" s="20" t="inlineStr">
        <is>
          <t>T6</t>
        </is>
      </c>
      <c r="B7" s="20" t="inlineStr">
        <is>
          <t>ICFR oversight — SOX 404(b) deemed to satisfy Part 363, designated-laws annex</t>
        </is>
      </c>
      <c r="C7" s="20" t="inlineStr">
        <is>
          <t>Consolidated</t>
        </is>
      </c>
      <c r="D7" s="20" t="n">
        <v>4</v>
      </c>
      <c r="E7" s="20" t="n">
        <v>4</v>
      </c>
      <c r="F7" s="20" t="inlineStr">
        <is>
          <t>Internal control over financial reporting</t>
        </is>
      </c>
    </row>
    <row r="8" ht="15" customHeight="1" s="14">
      <c r="A8" s="20" t="inlineStr">
        <is>
          <t>T7</t>
        </is>
      </c>
      <c r="B8" s="20" t="inlineStr">
        <is>
          <t>Fiduciary audit via the audit committee where composition overlaps</t>
        </is>
      </c>
      <c r="C8" s="20" t="inlineStr">
        <is>
          <t>Consolidated</t>
        </is>
      </c>
      <c r="D8" s="20" t="n">
        <v>2</v>
      </c>
      <c r="E8" s="20" t="n">
        <v>2</v>
      </c>
      <c r="F8" s="20" t="inlineStr">
        <is>
          <t>Fiduciary (trust) governance</t>
        </is>
      </c>
    </row>
    <row r="9" ht="15" customHeight="1" s="14">
      <c r="A9" s="20" t="inlineStr">
        <is>
          <t>T8</t>
        </is>
      </c>
      <c r="B9" s="20" t="inlineStr">
        <is>
          <t>Capital plan, policy &amp; actions approval; methodology as reporting</t>
        </is>
      </c>
      <c r="C9" s="20" t="inlineStr">
        <is>
          <t>Consolidated</t>
        </is>
      </c>
      <c r="D9" s="20" t="n">
        <v>20</v>
      </c>
      <c r="E9" s="20" t="n">
        <v>17</v>
      </c>
      <c r="F9" s="20" t="inlineStr">
        <is>
          <t>Capital planning &amp; stress testing</t>
        </is>
      </c>
    </row>
    <row r="10" ht="15" customHeight="1" s="14">
      <c r="A10" s="20" t="inlineStr">
        <is>
          <t>T9</t>
        </is>
      </c>
      <c r="B10" s="20" t="inlineStr">
        <is>
          <t>Liquidity risk-tolerance approval — one approval satisfies rule and guidance</t>
        </is>
      </c>
      <c r="C10" s="20" t="inlineStr">
        <is>
          <t>Consolidated</t>
        </is>
      </c>
      <c r="D10" s="20" t="n">
        <v>19</v>
      </c>
      <c r="E10" s="20" t="n">
        <v>15</v>
      </c>
      <c r="F10" s="20" t="inlineStr">
        <is>
          <t>Liquidity risk management</t>
        </is>
      </c>
    </row>
    <row r="11" ht="15" customHeight="1" s="14">
      <c r="A11" s="20" t="inlineStr">
        <is>
          <t>T10</t>
        </is>
      </c>
      <c r="B11" s="20" t="inlineStr">
        <is>
          <t>One annual resilience-planning cycle; shared submission with IDI annex</t>
        </is>
      </c>
      <c r="C11" s="20" t="inlineStr">
        <is>
          <t>Consolidated</t>
        </is>
      </c>
      <c r="D11" s="20" t="n">
        <v>13</v>
      </c>
      <c r="E11" s="20" t="n">
        <v>5</v>
      </c>
      <c r="F11" s="20" t="inlineStr">
        <is>
          <t>Resolution, recovery &amp; contingency funding</t>
        </is>
      </c>
    </row>
    <row r="12" ht="15" customHeight="1" s="14">
      <c r="A12" s="20" t="inlineStr">
        <is>
          <t>T11</t>
        </is>
      </c>
      <c r="B12" s="20" t="inlineStr">
        <is>
          <t>Credit-risk governance framework approval (one RE-lending standard)</t>
        </is>
      </c>
      <c r="C12" s="20" t="inlineStr">
        <is>
          <t>Consolidated</t>
        </is>
      </c>
      <c r="D12" s="20" t="n">
        <v>6</v>
      </c>
      <c r="E12" s="20" t="n">
        <v>2</v>
      </c>
      <c r="F12" s="20" t="inlineStr">
        <is>
          <t>Credit risk governance</t>
        </is>
      </c>
    </row>
    <row r="13" ht="15" customHeight="1" s="14">
      <c r="A13" s="20" t="inlineStr">
        <is>
          <t>T12</t>
        </is>
      </c>
      <c r="B13" s="20" t="inlineStr">
        <is>
          <t>Insider/affiliate duties retained (Reg O / 23A-23B) — coordinated, not merged</t>
        </is>
      </c>
      <c r="C13" s="20" t="inlineStr">
        <is>
          <t>Retained</t>
        </is>
      </c>
      <c r="D13" s="20" t="n">
        <v>5</v>
      </c>
      <c r="E13" s="20" t="n">
        <v>5</v>
      </c>
      <c r="F13" s="20" t="inlineStr">
        <is>
          <t>Insider / affiliate / related-party</t>
        </is>
      </c>
    </row>
    <row r="14" ht="15" customHeight="1" s="14">
      <c r="A14" s="20" t="inlineStr">
        <is>
          <t>T13</t>
        </is>
      </c>
      <c r="B14" s="20" t="inlineStr">
        <is>
          <t>One enterprise information-security program approval; single incident standard</t>
        </is>
      </c>
      <c r="C14" s="20" t="inlineStr">
        <is>
          <t>Consolidated</t>
        </is>
      </c>
      <c r="D14" s="20" t="n">
        <v>12</v>
      </c>
      <c r="E14" s="20" t="n">
        <v>6</v>
      </c>
      <c r="F14" s="20" t="inlineStr">
        <is>
          <t>Information security &amp; cybersecurity</t>
        </is>
      </c>
    </row>
    <row r="15" ht="15" customHeight="1" s="14">
      <c r="A15" s="20" t="inlineStr">
        <is>
          <t>T14</t>
        </is>
      </c>
      <c r="B15" s="20" t="inlineStr">
        <is>
          <t>Third-party oversight above quantitative critical-activity threshold</t>
        </is>
      </c>
      <c r="C15" s="20" t="inlineStr">
        <is>
          <t>Consolidated</t>
        </is>
      </c>
      <c r="D15" s="20" t="n">
        <v>7</v>
      </c>
      <c r="E15" s="20" t="n">
        <v>5</v>
      </c>
      <c r="F15" s="20" t="inlineStr">
        <is>
          <t>Third-party risk management</t>
        </is>
      </c>
    </row>
    <row r="16" ht="15" customHeight="1" s="14">
      <c r="A16" s="20" t="inlineStr">
        <is>
          <t>T16</t>
        </is>
      </c>
      <c r="B16" s="20" t="inlineStr">
        <is>
          <t>Model-risk framework via General-Part approval mechanic (G1)</t>
        </is>
      </c>
      <c r="C16" s="20" t="inlineStr">
        <is>
          <t>Folded</t>
        </is>
      </c>
      <c r="D16" s="20" t="n">
        <v>2</v>
      </c>
      <c r="E16" s="20" t="n">
        <v>0</v>
      </c>
      <c r="F16" s="20" t="inlineStr">
        <is>
          <t>Model risk governance</t>
        </is>
      </c>
    </row>
    <row r="17" ht="15" customHeight="1" s="14">
      <c r="A17" s="20" t="inlineStr">
        <is>
          <t>T17</t>
        </is>
      </c>
      <c r="B17" s="20" t="inlineStr">
        <is>
          <t>BSA/AML program approval retained; manual cross-references the rule</t>
        </is>
      </c>
      <c r="C17" s="20" t="inlineStr">
        <is>
          <t>Retained</t>
        </is>
      </c>
      <c r="D17" s="20" t="n">
        <v>18</v>
      </c>
      <c r="E17" s="20" t="n">
        <v>8</v>
      </c>
      <c r="F17" s="20" t="inlineStr">
        <is>
          <t>BSA/AML program</t>
        </is>
      </c>
    </row>
    <row r="18" ht="15" customHeight="1" s="14">
      <c r="A18" s="20" t="inlineStr">
        <is>
          <t>T18</t>
        </is>
      </c>
      <c r="B18" s="20" t="inlineStr">
        <is>
          <t>Consumer-compliance oversight retained — coordinated, not consolidated</t>
        </is>
      </c>
      <c r="C18" s="20" t="inlineStr">
        <is>
          <t>Retained</t>
        </is>
      </c>
      <c r="D18" s="20" t="n">
        <v>15</v>
      </c>
      <c r="E18" s="20" t="n">
        <v>2</v>
      </c>
      <c r="F18" s="20" t="inlineStr">
        <is>
          <t>Consumer compliance (CMS)</t>
        </is>
      </c>
    </row>
    <row r="19" ht="15" customHeight="1" s="14">
      <c r="A19" s="20" t="inlineStr">
        <is>
          <t>T19</t>
        </is>
      </c>
      <c r="B19" s="20" t="inlineStr">
        <is>
          <t>Incentive-compensation oversight; DFA 956 branch = open policy choice</t>
        </is>
      </c>
      <c r="C19" s="20" t="inlineStr">
        <is>
          <t>Open branch</t>
        </is>
      </c>
      <c r="D19" s="20" t="n">
        <v>11</v>
      </c>
      <c r="E19" s="20" t="n">
        <v>4</v>
      </c>
      <c r="F19" s="20" t="inlineStr">
        <is>
          <t>Incentive compensation</t>
        </is>
      </c>
    </row>
    <row r="20" ht="15" customHeight="1" s="14">
      <c r="A20" s="20" t="inlineStr">
        <is>
          <t>T21</t>
        </is>
      </c>
      <c r="B20" s="20" t="inlineStr">
        <is>
          <t>Director nomination, eligibility &amp; continuity — one process, one notice procedure</t>
        </is>
      </c>
      <c r="C20" s="20" t="inlineStr">
        <is>
          <t>Consolidated</t>
        </is>
      </c>
      <c r="D20" s="20" t="n">
        <v>3</v>
      </c>
      <c r="E20" s="20" t="n">
        <v>2</v>
      </c>
      <c r="F20" s="20" t="inlineStr">
        <is>
          <t>Director eligibility &amp; continuity</t>
        </is>
      </c>
    </row>
    <row r="21" ht="15" customHeight="1" s="14">
      <c r="A21" s="20" t="inlineStr">
        <is>
          <t>T22</t>
        </is>
      </c>
      <c r="B21" s="20" t="inlineStr">
        <is>
          <t>One consolidated director-training program (BSA module preserves the floor)</t>
        </is>
      </c>
      <c r="C21" s="20" t="inlineStr">
        <is>
          <t>Consolidated</t>
        </is>
      </c>
      <c r="D21" s="20" t="n">
        <v>2</v>
      </c>
      <c r="E21" s="20" t="n">
        <v>2</v>
      </c>
      <c r="F21" s="20" t="inlineStr">
        <is>
          <t>Director training</t>
        </is>
      </c>
    </row>
    <row r="22" ht="15" customHeight="1" s="14">
      <c r="A22" s="20" t="inlineStr">
        <is>
          <t>T23</t>
        </is>
      </c>
      <c r="B22" s="20" t="inlineStr">
        <is>
          <t>Board structure &amp; committee mechanics — stated once (G1/G4)</t>
        </is>
      </c>
      <c r="C22" s="20" t="inlineStr">
        <is>
          <t>Folded</t>
        </is>
      </c>
      <c r="D22" s="20" t="n">
        <v>4</v>
      </c>
      <c r="E22" s="20" t="n">
        <v>4</v>
      </c>
      <c r="F22" s="20" t="inlineStr">
        <is>
          <t>Unique structural duties</t>
        </is>
      </c>
    </row>
    <row r="23" ht="15" customHeight="1" s="14">
      <c r="A23" s="20" t="inlineStr">
        <is>
          <t>T24</t>
        </is>
      </c>
      <c r="B23" s="20" t="inlineStr">
        <is>
          <t>Hold management accountable — the irreducible baseline duty, retained verbatim</t>
        </is>
      </c>
      <c r="C23" s="20" t="inlineStr">
        <is>
          <t>Retained</t>
        </is>
      </c>
      <c r="D23" s="20" t="n">
        <v>1</v>
      </c>
      <c r="E23" s="20" t="n">
        <v>1</v>
      </c>
      <c r="F23" s="20" t="inlineStr">
        <is>
          <t>Safety-and-soundness baseline</t>
        </is>
      </c>
    </row>
    <row r="24" ht="15" customHeight="1" s="14">
      <c r="A24" s="20" t="inlineStr">
        <is>
          <t>G5</t>
        </is>
      </c>
      <c r="B24" s="20" t="inlineStr">
        <is>
          <t>General Part: one annual board self-assessment (App. D III.F + SR 21-3)</t>
        </is>
      </c>
      <c r="C24" s="20" t="inlineStr">
        <is>
          <t>Consolidated</t>
        </is>
      </c>
      <c r="D24" s="20" t="n">
        <v>3</v>
      </c>
      <c r="E24" s="20" t="n">
        <v>3</v>
      </c>
      <c r="F24" s="20" t="inlineStr">
        <is>
          <t>Board self-assessment / effectiveness</t>
        </is>
      </c>
    </row>
    <row r="25" ht="15" customHeight="1" s="14">
      <c r="A25" s="20" t="inlineStr">
        <is>
          <t>G6</t>
        </is>
      </c>
      <c r="B25" s="20" t="inlineStr">
        <is>
          <t>General Part: one canonical independent-director definition</t>
        </is>
      </c>
      <c r="C25" s="20" t="inlineStr">
        <is>
          <t>Consolidated</t>
        </is>
      </c>
      <c r="D25" s="20" t="n">
        <v>15</v>
      </c>
      <c r="E25" s="20" t="n">
        <v>11</v>
      </c>
      <c r="F25" s="20" t="inlineStr">
        <is>
          <t>Director independence (cross-cutting)</t>
        </is>
      </c>
    </row>
    <row r="26" ht="15" customHeight="1" s="14">
      <c r="A26" s="20" t="inlineStr">
        <is>
          <t>R</t>
        </is>
      </c>
      <c r="B26" s="20" t="inlineStr">
        <is>
          <t>Source-of-strength / charter-sanctity — statutory, retained as-is</t>
        </is>
      </c>
      <c r="C26" s="20" t="inlineStr">
        <is>
          <t>Retained</t>
        </is>
      </c>
      <c r="D26" s="20" t="n">
        <v>1</v>
      </c>
      <c r="E26" s="20" t="n">
        <v>1</v>
      </c>
      <c r="F26" s="20" t="inlineStr">
        <is>
          <t>Source of strength / charter sanctity</t>
        </is>
      </c>
    </row>
    <row r="27" ht="15" customHeight="1" s="14">
      <c r="A27" s="20" t="inlineStr">
        <is>
          <t>R</t>
        </is>
      </c>
      <c r="B27" s="20" t="inlineStr">
        <is>
          <t>Personal-liability provisions — retained as-is (not a consolidation target)</t>
        </is>
      </c>
      <c r="C27" s="20" t="inlineStr">
        <is>
          <t>Retained</t>
        </is>
      </c>
      <c r="D27" s="20" t="n">
        <v>4</v>
      </c>
      <c r="E27" s="20" t="n">
        <v>3</v>
      </c>
      <c r="F27" s="20" t="inlineStr">
        <is>
          <t>Personal liability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6" customWidth="1" style="13" min="1" max="1"/>
    <col width="14" customWidth="1" style="13" min="2" max="2"/>
  </cols>
  <sheetData>
    <row r="1" ht="15" customHeight="1" s="14">
      <c r="A1" s="15" t="inlineStr">
        <is>
          <t>Summary</t>
        </is>
      </c>
    </row>
    <row r="3" ht="15" customHeight="1" s="14">
      <c r="A3" s="17" t="inlineStr">
        <is>
          <t>Total duty statements today (A)</t>
        </is>
      </c>
      <c r="B3" s="18">
        <f>COUNTA('All Duties A→B'!A2:A228)</f>
        <v/>
      </c>
    </row>
    <row r="4" ht="15" customHeight="1" s="14">
      <c r="A4" s="17" t="inlineStr">
        <is>
          <t>Consolidated</t>
        </is>
      </c>
      <c r="B4" s="18">
        <f>COUNTIF('All Duties A→B'!J2:J228,"Consolidated")</f>
        <v/>
      </c>
    </row>
    <row r="5" ht="15" customHeight="1" s="14">
      <c r="A5" s="17" t="inlineStr">
        <is>
          <t>Folded</t>
        </is>
      </c>
      <c r="B5" s="18">
        <f>COUNTIF('All Duties A→B'!J2:J228,"Folded")</f>
        <v/>
      </c>
    </row>
    <row r="6" ht="15" customHeight="1" s="14">
      <c r="A6" s="17" t="inlineStr">
        <is>
          <t>Retained as-is</t>
        </is>
      </c>
      <c r="B6" s="18">
        <f>COUNTIF('All Duties A→B'!J2:J228,"Retained")</f>
        <v/>
      </c>
    </row>
    <row r="7" ht="15" customHeight="1" s="14">
      <c r="A7" s="17" t="inlineStr">
        <is>
          <t>Open policy branch (§956)</t>
        </is>
      </c>
      <c r="B7" s="18">
        <f>COUNTIF('All Duties A→B'!J2:J228,"Open branch")</f>
        <v/>
      </c>
    </row>
    <row r="8" ht="15" customHeight="1" s="14">
      <c r="A8" s="17" t="inlineStr">
        <is>
          <t>Verified against primary sources</t>
        </is>
      </c>
      <c r="B8" s="18">
        <f>COUNTIF('All Duties A→B'!I2:I228,"verified")</f>
        <v/>
      </c>
    </row>
    <row r="9" ht="15" customHeight="1" s="14">
      <c r="A9" s="17" t="inlineStr">
        <is>
          <t>Distinct consolidated duties (B)</t>
        </is>
      </c>
      <c r="B9" s="18">
        <f>SUMPRODUCT((COUNTIF(OFFSET('By Target'!A2,0,0,COUNTA('By Target'!A2:A40),1),OFFSET('By Target'!A2,0,0,COUNTA('By Target'!A2:A40),1))&gt;0)*1)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2026-07-04T12:24:24Z</dcterms:created>
  <dcterms:modified xmlns:dcterms="http://purl.org/dc/terms/" xmlns:xsi="http://www.w3.org/2001/XMLSchema-instance" xsi:type="dcterms:W3CDTF">2026-07-06T18:33:28Z</dcterms:modified>
  <cp:revision>0</cp:revision>
</cp:coreProperties>
</file>